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 Info" sheetId="1" r:id="rId5"/>
    <sheet state="visible" name="G Suite Bulk User Creation" sheetId="2" r:id="rId6"/>
    <sheet state="hidden" name="Bulk Email Creation" sheetId="3" r:id="rId7"/>
    <sheet state="visible" name="BulkRemove|OFFBOARDING" sheetId="4" r:id="rId8"/>
    <sheet state="visible" name="Add Group ID_Bulk" sheetId="5" r:id="rId9"/>
    <sheet state="visible" name="1 Group ID_Bulk" sheetId="6" r:id="rId10"/>
    <sheet state="hidden" name="Remove All Members from Groups" sheetId="7" r:id="rId11"/>
    <sheet state="visible" name="Org Unit Path List" sheetId="8" r:id="rId12"/>
  </sheets>
  <definedNames/>
  <calcPr/>
</workbook>
</file>

<file path=xl/sharedStrings.xml><?xml version="1.0" encoding="utf-8"?>
<sst xmlns="http://schemas.openxmlformats.org/spreadsheetml/2006/main" count="167" uniqueCount="71">
  <si>
    <t>FullName</t>
  </si>
  <si>
    <t>PrimaryEmail🔂</t>
  </si>
  <si>
    <t xml:space="preserve">sapce </t>
  </si>
  <si>
    <t>FirstName 🔂</t>
  </si>
  <si>
    <t>LastName 🔂</t>
  </si>
  <si>
    <t>PrimaryEmail</t>
  </si>
  <si>
    <t>Password 🔂</t>
  </si>
  <si>
    <t>Aman Hans</t>
  </si>
  <si>
    <t>Harshit Kumar Singh</t>
  </si>
  <si>
    <t>Actions</t>
  </si>
  <si>
    <t>OrgUnitPath</t>
  </si>
  <si>
    <t>RecoveryMobile</t>
  </si>
  <si>
    <t>RecoveryEmail</t>
  </si>
  <si>
    <t>ManagerEmail</t>
  </si>
  <si>
    <t>JobTitle</t>
  </si>
  <si>
    <t>Department 🔂</t>
  </si>
  <si>
    <t>Status 🔂</t>
  </si>
  <si>
    <t>LastUpdated 🔂</t>
  </si>
  <si>
    <t>Update</t>
  </si>
  <si>
    <t>/</t>
  </si>
  <si>
    <t>Technology</t>
  </si>
  <si>
    <t>User updated successfully at 2026-03-16 12:33:47 GMT+05:30.</t>
  </si>
  <si>
    <t>2026-03-16 12:33:47 GMT+05:30</t>
  </si>
  <si>
    <t>Data</t>
  </si>
  <si>
    <t>Action</t>
  </si>
  <si>
    <t>Status🔂</t>
  </si>
  <si>
    <t>Last Updated🔂</t>
  </si>
  <si>
    <t>Create</t>
  </si>
  <si>
    <t>Admin</t>
  </si>
  <si>
    <t>Neoastro</t>
  </si>
  <si>
    <t>admin_neoastro@zupee.in</t>
  </si>
  <si>
    <t>+918595233273</t>
  </si>
  <si>
    <t>Vedicsankalp</t>
  </si>
  <si>
    <t>admin_vedicsankalp@zupee.in</t>
  </si>
  <si>
    <t>Zupeestudio</t>
  </si>
  <si>
    <t>admin_zupeestudio@zupee.in</t>
  </si>
  <si>
    <t>zaplearn</t>
  </si>
  <si>
    <t>admin_zaplearn@zupee.in</t>
  </si>
  <si>
    <t>Delete</t>
  </si>
  <si>
    <t>jyoti.gupta@ludozing.com</t>
  </si>
  <si>
    <t>Deleted</t>
  </si>
  <si>
    <t>2026-02-20 15:20:33 GMT+05:30</t>
  </si>
  <si>
    <t>jyoti.gupta@cardspatti.com</t>
  </si>
  <si>
    <t>UserEmail</t>
  </si>
  <si>
    <t>Employee Type</t>
  </si>
  <si>
    <t>Status</t>
  </si>
  <si>
    <t>all@zupee.in</t>
  </si>
  <si>
    <t>Full Time</t>
  </si>
  <si>
    <t>Contractual</t>
  </si>
  <si>
    <t/>
  </si>
  <si>
    <t>GroupEmails</t>
  </si>
  <si>
    <t>ishank.mehta@zupee.in</t>
  </si>
  <si>
    <t>in.zupee.domain.only@zupee.in</t>
  </si>
  <si>
    <t>Done: in.zupee.domain.only@zupee.in: Already member</t>
  </si>
  <si>
    <t>katha.tara@zupee.in</t>
  </si>
  <si>
    <t>Done: in.zupee.domain.only@zupee.in: Added</t>
  </si>
  <si>
    <t>sairam.mushyam@zupee.in</t>
  </si>
  <si>
    <t>mohit.garg@zupee.in</t>
  </si>
  <si>
    <t>ankit.madan@zupee.in</t>
  </si>
  <si>
    <t>GroupEmail</t>
  </si>
  <si>
    <t>Done: 432 members removed out of 433 listed.</t>
  </si>
  <si>
    <t>Emp Type</t>
  </si>
  <si>
    <t>OUP</t>
  </si>
  <si>
    <t>Group IDs</t>
  </si>
  <si>
    <t>Permanent/ Intern/ Trainee</t>
  </si>
  <si>
    <t>/No-2SV</t>
  </si>
  <si>
    <t>Consultant/ Contractual</t>
  </si>
  <si>
    <t>/MDM/Development</t>
  </si>
  <si>
    <t>Intern</t>
  </si>
  <si>
    <t>/MDM/Google Drive External Sharing</t>
  </si>
  <si>
    <t>Trainee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</si>
</sst>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b/>
      <i/>
      <sz val="10.0"/>
      <color theme="1"/>
      <name val="Roboto"/>
    </font>
    <font>
      <color theme="1"/>
      <name val="Arial"/>
    </font>
    <font>
      <sz val="9.0"/>
      <color theme="1"/>
      <name val="Roboto"/>
    </font>
    <font>
      <color theme="1"/>
      <name val="Arial"/>
      <scheme val="minor"/>
    </font>
    <font>
      <b/>
      <i/>
      <sz val="9.0"/>
      <color theme="1"/>
      <name val="Roboto"/>
    </font>
    <font>
      <sz val="9.0"/>
      <color rgb="FF000000"/>
      <name val="Roboto"/>
    </font>
    <font>
      <b/>
      <i/>
      <sz val="11.0"/>
      <color theme="1"/>
      <name val="Arial"/>
    </font>
    <font>
      <b/>
      <i/>
      <sz val="11.0"/>
      <color theme="1"/>
      <name val="Arial"/>
      <scheme val="minor"/>
    </font>
    <font>
      <b/>
      <i/>
      <sz val="10.0"/>
      <color theme="1"/>
      <name val="Arial"/>
    </font>
    <font>
      <sz val="10.0"/>
      <color theme="1"/>
      <name val="Arial"/>
    </font>
    <font>
      <sz val="10.0"/>
      <color rgb="FF000000"/>
      <name val="Calibri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color theme="1"/>
      <name val="Arial"/>
    </font>
    <font>
      <sz val="12.0"/>
      <color rgb="FF000000"/>
      <name val="Calibri"/>
    </font>
    <font>
      <b/>
      <i/>
      <color theme="1"/>
      <name val="Arial"/>
      <scheme val="minor"/>
    </font>
    <font>
      <b/>
      <i/>
      <sz val="11.0"/>
      <color rgb="FFFFFFFF"/>
      <name val="Roboto"/>
    </font>
    <font>
      <color theme="1"/>
      <name val="Roboto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7" numFmtId="0" xfId="0" applyFont="1"/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quotePrefix="1" borderId="0" fillId="0" fontId="15" numFmtId="0" xfId="0" applyAlignment="1" applyFont="1">
      <alignment readingOrder="0"/>
    </xf>
    <xf borderId="0" fillId="0" fontId="15" numFmtId="0" xfId="0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4" numFmtId="0" xfId="0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8" numFmtId="0" xfId="0" applyFont="1"/>
    <xf borderId="0" fillId="0" fontId="4" numFmtId="0" xfId="0" applyAlignment="1" applyFont="1">
      <alignment readingOrder="0" vertical="bottom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2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21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i/>
      </font>
      <fill>
        <patternFill patternType="solid">
          <fgColor rgb="FFD9EAD3"/>
          <bgColor rgb="FFD9EAD3"/>
        </patternFill>
      </fill>
      <border/>
    </dxf>
    <dxf>
      <font>
        <b/>
        <i/>
      </font>
      <fill>
        <patternFill patternType="solid">
          <fgColor rgb="FF9FC5E8"/>
          <bgColor rgb="FF9FC5E8"/>
        </patternFill>
      </fill>
      <border/>
    </dxf>
    <dxf>
      <font>
        <b/>
        <i/>
      </font>
      <fill>
        <patternFill patternType="solid">
          <fgColor rgb="FFEA9999"/>
          <bgColor rgb="FFEA9999"/>
        </patternFill>
      </fill>
      <border/>
    </dxf>
  </dxfs>
  <tableStyles count="2">
    <tableStyle count="3" pivot="0" name="Emp Info-style">
      <tableStyleElement dxfId="1" type="headerRow"/>
      <tableStyleElement dxfId="2" type="firstRowStripe"/>
      <tableStyleElement dxfId="3" type="secondRowStripe"/>
    </tableStyle>
    <tableStyle count="3" pivot="0" name="BulkRemove|OFFBOARD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84" displayName="Table_1" name="Table_1" id="1">
  <tableColumns count="3">
    <tableColumn name="FullName" id="1"/>
    <tableColumn name="PrimaryEmail🔂" id="2"/>
    <tableColumn name="sapce " id="3"/>
  </tableColumns>
  <tableStyleInfo name="Emp Info-style" showColumnStripes="0" showFirstColumn="1" showLastColumn="1" showRowStripes="1"/>
</table>
</file>

<file path=xl/tables/table2.xml><?xml version="1.0" encoding="utf-8"?>
<table xmlns="http://schemas.openxmlformats.org/spreadsheetml/2006/main" ref="A1:D83" displayName="Table_2" name="Table_2" id="2">
  <tableColumns count="4">
    <tableColumn name="Actions" id="1"/>
    <tableColumn name="PrimaryEmail" id="2"/>
    <tableColumn name="Status 🔂" id="3"/>
    <tableColumn name="LastUpdated 🔂" id="4"/>
  </tableColumns>
  <tableStyleInfo name="BulkRemove|OFFBOAR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4.75"/>
    <col customWidth="1" min="3" max="3" width="12.63"/>
    <col customWidth="1" min="4" max="4" width="11.13"/>
    <col customWidth="1" min="5" max="5" width="15.5"/>
    <col customWidth="1" min="6" max="6" width="27.0"/>
    <col customWidth="1" min="7" max="7" width="19.25"/>
    <col customWidth="1" min="8" max="8" width="16.5"/>
    <col customWidth="1" min="9" max="9" width="25.38"/>
    <col customWidth="1" min="10" max="10" width="13.13"/>
    <col customWidth="1" min="11" max="11" width="13.38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</row>
    <row r="2" ht="15.75" customHeight="1">
      <c r="A2" s="8" t="s">
        <v>7</v>
      </c>
      <c r="B2" s="9" t="str">
        <f>IFERROR(__xludf.DUMMYFUNCTION("IF(A2&lt;&gt;"""", 
   IF(COUNTA(SPLIT(TRIM(A2), "" ""))=1, 
      LOWER(TRIM(A2)) &amp; ""@zupee.in"", 
      LOWER(INDEX(SPLIT(TRIM(A2), "" ""), 1)) &amp; ""."" &amp; LOWER(INDEX(SPLIT(TRIM(A2), "" ""), COUNTA(SPLIT(TRIM(A2), "" "")))) &amp; ""@zupee.in""
   ), 
   """")"),"aman.hans@zupee.in")</f>
        <v>aman.hans@zupee.in</v>
      </c>
      <c r="C2" s="10"/>
      <c r="D2" s="11" t="str">
        <f>IFERROR(LEFT('Emp Info'!A2,SEARCH(" ",'Emp Info'!A2)-1),'Emp Info'!A2)</f>
        <v>Aman</v>
      </c>
      <c r="E2" s="11" t="str">
        <f>IF(ISBLANK('Emp Info'!A2), "", IFERROR(RIGHT('Emp Info'!A2,LEN('Emp Info'!A2)-SEARCH(" ",'Emp Info'!A2,1)),"."))</f>
        <v>Hans</v>
      </c>
      <c r="F2" s="7" t="str">
        <f>IFERROR(__xludf.DUMMYFUNCTION("IF('Emp Info'!A2&lt;&gt;"""", 
   IF(COUNTA(SPLIT(TRIM('Emp Info'!A2), "" ""))=1, 
      LOWER(TRIM('Emp Info'!A2)) &amp; ""@zupee.in"", 
      LOWER(INDEX(SPLIT(TRIM('Emp Info'!A2), "" ""), 1)) &amp; ""."" &amp; LOWER(INDEX(SPLIT(TRIM('Emp Info'!A2), "" ""), COUNTA(SPLIT("&amp;"TRIM('Emp Info'!A2), "" "")))) &amp; ""@zupee.in""
   ), 
   """")"),"aman.hans@zupee.in")</f>
        <v>aman.hans@zupee.in</v>
      </c>
      <c r="G2" s="7"/>
      <c r="I2" s="7"/>
      <c r="J2" s="7"/>
      <c r="K2" s="7"/>
    </row>
    <row r="3" ht="15.75" customHeight="1">
      <c r="A3" s="9" t="s">
        <v>8</v>
      </c>
      <c r="B3" s="9" t="str">
        <f>IFERROR(__xludf.DUMMYFUNCTION("IF(A3&lt;&gt;"""", 
   IF(COUNTA(SPLIT(TRIM(A3), "" ""))=1, 
      LOWER(TRIM(A3)) &amp; ""@zupee.in"", 
      LOWER(INDEX(SPLIT(TRIM(A3), "" ""), 1)) &amp; ""."" &amp; LOWER(INDEX(SPLIT(TRIM(A3), "" ""), COUNTA(SPLIT(TRIM(A3), "" "")))) &amp; ""@zupee.in""
   ), 
   """")"),"harshit.singh@zupee.in")</f>
        <v>harshit.singh@zupee.in</v>
      </c>
      <c r="C3" s="10"/>
      <c r="D3" s="11" t="str">
        <f>IFERROR(LEFT('Emp Info'!A3,SEARCH(" ",'Emp Info'!A3)-1),'Emp Info'!A3)</f>
        <v>Harshit</v>
      </c>
      <c r="E3" s="11" t="str">
        <f>IF(ISBLANK('Emp Info'!A3), "", IFERROR(RIGHT('Emp Info'!A3,LEN('Emp Info'!A3)-SEARCH(" ",'Emp Info'!A3,1)),"."))</f>
        <v>Kumar Singh</v>
      </c>
      <c r="F3" s="7" t="str">
        <f>IFERROR(__xludf.DUMMYFUNCTION("IF('Emp Info'!A3&lt;&gt;"""", 
   IF(COUNTA(SPLIT(TRIM('Emp Info'!A3), "" ""))=1, 
      LOWER(TRIM('Emp Info'!A3)) &amp; ""@zupee.in"", 
      LOWER(INDEX(SPLIT(TRIM('Emp Info'!A3), "" ""), 1)) &amp; ""."" &amp; LOWER(INDEX(SPLIT(TRIM('Emp Info'!A3), "" ""), COUNTA(SPLIT("&amp;"TRIM('Emp Info'!A3), "" "")))) &amp; ""@zupee.in""
   ), 
   """")"),"harshit.singh@zupee.in")</f>
        <v>harshit.singh@zupee.in</v>
      </c>
    </row>
    <row r="4" ht="15.75" customHeight="1">
      <c r="A4" s="9"/>
      <c r="B4" s="9" t="str">
        <f>IFERROR(__xludf.DUMMYFUNCTION("IF(A4&lt;&gt;"""", 
   IF(COUNTA(SPLIT(TRIM(A4), "" ""))=1, 
      LOWER(TRIM(A4)) &amp; ""@zupee.in"", 
      LOWER(INDEX(SPLIT(TRIM(A4), "" ""), 1)) &amp; ""."" &amp; LOWER(INDEX(SPLIT(TRIM(A4), "" ""), COUNTA(SPLIT(TRIM(A4), "" "")))) &amp; ""@zupee.in""
   ), 
   """")"),"")</f>
        <v/>
      </c>
      <c r="C4" s="10"/>
      <c r="E4" s="11" t="str">
        <f>IF(ISBLANK('Emp Info'!A4), "", IFERROR(RIGHT('Emp Info'!A4,LEN('Emp Info'!A4)-SEARCH(" ",'Emp Info'!A4,1)),"."))</f>
        <v/>
      </c>
    </row>
    <row r="5" ht="15.75" customHeight="1">
      <c r="A5" s="9"/>
      <c r="B5" s="9" t="str">
        <f>IFERROR(__xludf.DUMMYFUNCTION("IF(A5&lt;&gt;"""", 
   IF(COUNTA(SPLIT(TRIM(A5), "" ""))=1, 
      LOWER(TRIM(A5)) &amp; ""@zupee.in"", 
      LOWER(INDEX(SPLIT(TRIM(A5), "" ""), 1)) &amp; ""."" &amp; LOWER(INDEX(SPLIT(TRIM(A5), "" ""), COUNTA(SPLIT(TRIM(A5), "" "")))) &amp; ""@zupee.in""
   ), 
   """")"),"")</f>
        <v/>
      </c>
      <c r="C5" s="10"/>
    </row>
    <row r="6" ht="15.75" customHeight="1">
      <c r="A6" s="12"/>
      <c r="B6" s="9" t="str">
        <f>IFERROR(__xludf.DUMMYFUNCTION("IF(A6&lt;&gt;"""", 
   IF(COUNTA(SPLIT(TRIM(A6), "" ""))=1, 
      LOWER(TRIM(A6)) &amp; ""@zupee.in"", 
      LOWER(INDEX(SPLIT(TRIM(A6), "" ""), 1)) &amp; ""."" &amp; LOWER(INDEX(SPLIT(TRIM(A6), "" ""), COUNTA(SPLIT(TRIM(A6), "" "")))) &amp; ""@zupee.in""
   ), 
   """")"),"")</f>
        <v/>
      </c>
      <c r="C6" s="10"/>
    </row>
    <row r="7" ht="15.75" customHeight="1">
      <c r="A7" s="12"/>
      <c r="B7" s="9" t="str">
        <f>IFERROR(__xludf.DUMMYFUNCTION("IF(A7&lt;&gt;"""", 
   IF(COUNTA(SPLIT(TRIM(A7), "" ""))=1, 
      LOWER(TRIM(A7)) &amp; ""@zupee.in"", 
      LOWER(INDEX(SPLIT(TRIM(A7), "" ""), 1)) &amp; ""."" &amp; LOWER(INDEX(SPLIT(TRIM(A7), "" ""), COUNTA(SPLIT(TRIM(A7), "" "")))) &amp; ""@zupee.in""
   ), 
   """")"),"")</f>
        <v/>
      </c>
      <c r="C7" s="10"/>
    </row>
    <row r="8" ht="15.75" customHeight="1">
      <c r="A8" s="12"/>
      <c r="B8" s="9" t="str">
        <f>IFERROR(__xludf.DUMMYFUNCTION("IF(A8&lt;&gt;"""", 
   IF(COUNTA(SPLIT(TRIM(A8), "" ""))=1, 
      LOWER(TRIM(A8)) &amp; ""@zupee.in"", 
      LOWER(INDEX(SPLIT(TRIM(A8), "" ""), 1)) &amp; ""."" &amp; LOWER(INDEX(SPLIT(TRIM(A8), "" ""), COUNTA(SPLIT(TRIM(A8), "" "")))) &amp; ""@zupee.in""
   ), 
   """")"),"")</f>
        <v/>
      </c>
      <c r="C8" s="10"/>
    </row>
    <row r="9" ht="15.75" customHeight="1">
      <c r="A9" s="12"/>
      <c r="B9" s="9" t="str">
        <f>IFERROR(__xludf.DUMMYFUNCTION("IF(A9&lt;&gt;"""", 
   IF(COUNTA(SPLIT(TRIM(A9), "" ""))=1, 
      LOWER(TRIM(A9)) &amp; ""@zupee.in"", 
      LOWER(INDEX(SPLIT(TRIM(A9), "" ""), 1)) &amp; ""."" &amp; LOWER(INDEX(SPLIT(TRIM(A9), "" ""), COUNTA(SPLIT(TRIM(A9), "" "")))) &amp; ""@zupee.in""
   ), 
   """")"),"")</f>
        <v/>
      </c>
      <c r="C9" s="10"/>
    </row>
    <row r="10" ht="15.75" customHeight="1">
      <c r="A10" s="12"/>
      <c r="B10" s="9" t="str">
        <f>IFERROR(__xludf.DUMMYFUNCTION("IF(A10&lt;&gt;"""", 
   IF(COUNTA(SPLIT(TRIM(A10), "" ""))=1, 
      LOWER(TRIM(A10)) &amp; ""@zupee.in"", 
      LOWER(INDEX(SPLIT(TRIM(A10), "" ""), 1)) &amp; ""."" &amp; LOWER(INDEX(SPLIT(TRIM(A10), "" ""), COUNTA(SPLIT(TRIM(A10), "" "")))) &amp; ""@zupee.in""
   ), 
   """&amp;""")"),"")</f>
        <v/>
      </c>
      <c r="C10" s="10"/>
    </row>
    <row r="11" ht="15.75" customHeight="1">
      <c r="A11" s="12"/>
      <c r="B11" s="9" t="str">
        <f>IFERROR(__xludf.DUMMYFUNCTION("IF(A11&lt;&gt;"""", 
   IF(COUNTA(SPLIT(TRIM(A11), "" ""))=1, 
      LOWER(TRIM(A11)) &amp; ""@zupee.in"", 
      LOWER(INDEX(SPLIT(TRIM(A11), "" ""), 1)) &amp; ""."" &amp; LOWER(INDEX(SPLIT(TRIM(A11), "" ""), COUNTA(SPLIT(TRIM(A11), "" "")))) &amp; ""@zupee.in""
   ), 
   """&amp;""")"),"")</f>
        <v/>
      </c>
      <c r="C11" s="10"/>
    </row>
    <row r="12" ht="15.75" customHeight="1">
      <c r="A12" s="12"/>
      <c r="B12" s="9" t="str">
        <f>IFERROR(__xludf.DUMMYFUNCTION("IF(A12&lt;&gt;"""", 
   IF(COUNTA(SPLIT(TRIM(A12), "" ""))=1, 
      LOWER(TRIM(A12)) &amp; ""@zupee.in"", 
      LOWER(INDEX(SPLIT(TRIM(A12), "" ""), 1)) &amp; ""."" &amp; LOWER(INDEX(SPLIT(TRIM(A12), "" ""), COUNTA(SPLIT(TRIM(A12), "" "")))) &amp; ""@zupee.in""
   ), 
   """&amp;""")"),"")</f>
        <v/>
      </c>
      <c r="C12" s="10"/>
    </row>
    <row r="13" ht="15.75" customHeight="1">
      <c r="A13" s="12"/>
      <c r="B13" s="9" t="str">
        <f>IFERROR(__xludf.DUMMYFUNCTION("IF(A13&lt;&gt;"""", 
   IF(COUNTA(SPLIT(TRIM(A13), "" ""))=1, 
      LOWER(TRIM(A13)) &amp; ""@zupee.in"", 
      LOWER(INDEX(SPLIT(TRIM(A13), "" ""), 1)) &amp; ""."" &amp; LOWER(INDEX(SPLIT(TRIM(A13), "" ""), COUNTA(SPLIT(TRIM(A13), "" "")))) &amp; ""@zupee.in""
   ), 
   """&amp;""")"),"")</f>
        <v/>
      </c>
      <c r="C13" s="10"/>
    </row>
    <row r="14" ht="15.75" customHeight="1">
      <c r="A14" s="12"/>
      <c r="B14" s="9" t="str">
        <f>IFERROR(__xludf.DUMMYFUNCTION("IF(A14&lt;&gt;"""", 
   IF(COUNTA(SPLIT(TRIM(A14), "" ""))=1, 
      LOWER(TRIM(A14)) &amp; ""@zupee.in"", 
      LOWER(INDEX(SPLIT(TRIM(A14), "" ""), 1)) &amp; ""."" &amp; LOWER(INDEX(SPLIT(TRIM(A14), "" ""), COUNTA(SPLIT(TRIM(A14), "" "")))) &amp; ""@zupee.in""
   ), 
   """&amp;""")"),"")</f>
        <v/>
      </c>
      <c r="C14" s="10"/>
    </row>
    <row r="15" ht="15.75" customHeight="1">
      <c r="A15" s="12"/>
      <c r="B15" s="9" t="str">
        <f>IFERROR(__xludf.DUMMYFUNCTION("IF(A15&lt;&gt;"""", 
   IF(COUNTA(SPLIT(TRIM(A15), "" ""))=1, 
      LOWER(TRIM(A15)) &amp; ""@zupee.in"", 
      LOWER(INDEX(SPLIT(TRIM(A15), "" ""), 1)) &amp; ""."" &amp; LOWER(INDEX(SPLIT(TRIM(A15), "" ""), COUNTA(SPLIT(TRIM(A15), "" "")))) &amp; ""@zupee.in""
   ), 
   """&amp;""")"),"")</f>
        <v/>
      </c>
      <c r="C15" s="10"/>
    </row>
    <row r="16" ht="15.75" customHeight="1">
      <c r="A16" s="12"/>
      <c r="B16" s="9" t="str">
        <f>IFERROR(__xludf.DUMMYFUNCTION("IF(A16&lt;&gt;"""", 
   IF(COUNTA(SPLIT(TRIM(A16), "" ""))=1, 
      LOWER(TRIM(A16)) &amp; ""@zupee.in"", 
      LOWER(INDEX(SPLIT(TRIM(A16), "" ""), 1)) &amp; ""."" &amp; LOWER(INDEX(SPLIT(TRIM(A16), "" ""), COUNTA(SPLIT(TRIM(A16), "" "")))) &amp; ""@zupee.in""
   ), 
   """&amp;""")"),"")</f>
        <v/>
      </c>
      <c r="C16" s="10"/>
    </row>
    <row r="17" ht="15.75" customHeight="1">
      <c r="A17" s="12"/>
      <c r="B17" s="9" t="str">
        <f>IFERROR(__xludf.DUMMYFUNCTION("IF(A17&lt;&gt;"""", 
   IF(COUNTA(SPLIT(TRIM(A17), "" ""))=1, 
      LOWER(TRIM(A17)) &amp; ""@zupee.in"", 
      LOWER(INDEX(SPLIT(TRIM(A17), "" ""), 1)) &amp; ""."" &amp; LOWER(INDEX(SPLIT(TRIM(A17), "" ""), COUNTA(SPLIT(TRIM(A17), "" "")))) &amp; ""@zupee.in""
   ), 
   """&amp;""")"),"")</f>
        <v/>
      </c>
      <c r="C17" s="10"/>
    </row>
    <row r="18" ht="15.75" customHeight="1">
      <c r="A18" s="12"/>
      <c r="B18" s="9" t="str">
        <f>IFERROR(__xludf.DUMMYFUNCTION("IF(A18&lt;&gt;"""", 
   IF(COUNTA(SPLIT(TRIM(A18), "" ""))=1, 
      LOWER(TRIM(A18)) &amp; ""@zupee.in"", 
      LOWER(INDEX(SPLIT(TRIM(A18), "" ""), 1)) &amp; ""."" &amp; LOWER(INDEX(SPLIT(TRIM(A18), "" ""), COUNTA(SPLIT(TRIM(A18), "" "")))) &amp; ""@zupee.in""
   ), 
   """&amp;""")"),"")</f>
        <v/>
      </c>
      <c r="C18" s="10"/>
    </row>
    <row r="19" ht="15.75" customHeight="1">
      <c r="A19" s="12"/>
      <c r="B19" s="9" t="str">
        <f>IFERROR(__xludf.DUMMYFUNCTION("IF(A19&lt;&gt;"""", 
   IF(COUNTA(SPLIT(TRIM(A19), "" ""))=1, 
      LOWER(TRIM(A19)) &amp; ""@zupee.in"", 
      LOWER(INDEX(SPLIT(TRIM(A19), "" ""), 1)) &amp; ""."" &amp; LOWER(INDEX(SPLIT(TRIM(A19), "" ""), COUNTA(SPLIT(TRIM(A19), "" "")))) &amp; ""@zupee.in""
   ), 
   """&amp;""")"),"")</f>
        <v/>
      </c>
      <c r="C19" s="10"/>
    </row>
    <row r="20" ht="15.75" customHeight="1">
      <c r="A20" s="12"/>
      <c r="B20" s="9" t="str">
        <f>IFERROR(__xludf.DUMMYFUNCTION("IF(A20&lt;&gt;"""", 
   IF(COUNTA(SPLIT(TRIM(A20), "" ""))=1, 
      LOWER(TRIM(A20)) &amp; ""@zupee.in"", 
      LOWER(INDEX(SPLIT(TRIM(A20), "" ""), 1)) &amp; ""."" &amp; LOWER(INDEX(SPLIT(TRIM(A20), "" ""), COUNTA(SPLIT(TRIM(A20), "" "")))) &amp; ""@zupee.in""
   ), 
   """&amp;""")"),"")</f>
        <v/>
      </c>
      <c r="C20" s="10"/>
    </row>
    <row r="21" ht="15.75" customHeight="1">
      <c r="A21" s="12"/>
      <c r="B21" s="9" t="str">
        <f>IFERROR(__xludf.DUMMYFUNCTION("IF(A21&lt;&gt;"""", 
   IF(COUNTA(SPLIT(TRIM(A21), "" ""))=1, 
      LOWER(TRIM(A21)) &amp; ""@zupee.in"", 
      LOWER(INDEX(SPLIT(TRIM(A21), "" ""), 1)) &amp; ""."" &amp; LOWER(INDEX(SPLIT(TRIM(A21), "" ""), COUNTA(SPLIT(TRIM(A21), "" "")))) &amp; ""@zupee.in""
   ), 
   """&amp;""")"),"")</f>
        <v/>
      </c>
      <c r="C21" s="10"/>
    </row>
    <row r="22" ht="15.75" customHeight="1">
      <c r="A22" s="12"/>
      <c r="B22" s="9" t="str">
        <f>IFERROR(__xludf.DUMMYFUNCTION("IF(A22&lt;&gt;"""", 
   IF(COUNTA(SPLIT(TRIM(A22), "" ""))=1, 
      LOWER(TRIM(A22)) &amp; ""@zupee.in"", 
      LOWER(INDEX(SPLIT(TRIM(A22), "" ""), 1)) &amp; ""."" &amp; LOWER(INDEX(SPLIT(TRIM(A22), "" ""), COUNTA(SPLIT(TRIM(A22), "" "")))) &amp; ""@zupee.in""
   ), 
   """&amp;""")"),"")</f>
        <v/>
      </c>
      <c r="C22" s="10"/>
    </row>
    <row r="23" ht="15.75" customHeight="1">
      <c r="A23" s="12"/>
      <c r="B23" s="9" t="str">
        <f>IFERROR(__xludf.DUMMYFUNCTION("IF(A23&lt;&gt;"""", 
   IF(COUNTA(SPLIT(TRIM(A23), "" ""))=1, 
      LOWER(TRIM(A23)) &amp; ""@zupee.in"", 
      LOWER(INDEX(SPLIT(TRIM(A23), "" ""), 1)) &amp; ""."" &amp; LOWER(INDEX(SPLIT(TRIM(A23), "" ""), COUNTA(SPLIT(TRIM(A23), "" "")))) &amp; ""@zupee.in""
   ), 
   """&amp;""")"),"")</f>
        <v/>
      </c>
      <c r="C23" s="10"/>
    </row>
    <row r="24" ht="15.75" customHeight="1">
      <c r="A24" s="12"/>
      <c r="B24" s="9" t="str">
        <f>IFERROR(__xludf.DUMMYFUNCTION("IF(A24&lt;&gt;"""", 
   IF(COUNTA(SPLIT(TRIM(A24), "" ""))=1, 
      LOWER(TRIM(A24)) &amp; ""@zupee.in"", 
      LOWER(INDEX(SPLIT(TRIM(A24), "" ""), 1)) &amp; ""."" &amp; LOWER(INDEX(SPLIT(TRIM(A24), "" ""), COUNTA(SPLIT(TRIM(A24), "" "")))) &amp; ""@zupee.in""
   ), 
   """&amp;""")"),"")</f>
        <v/>
      </c>
      <c r="C24" s="10"/>
    </row>
    <row r="25" ht="15.75" customHeight="1">
      <c r="A25" s="12"/>
      <c r="B25" s="9" t="str">
        <f>IFERROR(__xludf.DUMMYFUNCTION("IF(A25&lt;&gt;"""", 
   IF(COUNTA(SPLIT(TRIM(A25), "" ""))=1, 
      LOWER(TRIM(A25)) &amp; ""@zupee.in"", 
      LOWER(INDEX(SPLIT(TRIM(A25), "" ""), 1)) &amp; ""."" &amp; LOWER(INDEX(SPLIT(TRIM(A25), "" ""), COUNTA(SPLIT(TRIM(A25), "" "")))) &amp; ""@zupee.in""
   ), 
   """&amp;""")"),"")</f>
        <v/>
      </c>
      <c r="C25" s="10"/>
    </row>
    <row r="26" ht="15.75" customHeight="1">
      <c r="A26" s="12"/>
      <c r="B26" s="9" t="str">
        <f>IFERROR(__xludf.DUMMYFUNCTION("IF(A26&lt;&gt;"""", 
   IF(COUNTA(SPLIT(TRIM(A26), "" ""))=1, 
      LOWER(TRIM(A26)) &amp; ""@zupee.in"", 
      LOWER(INDEX(SPLIT(TRIM(A26), "" ""), 1)) &amp; ""."" &amp; LOWER(INDEX(SPLIT(TRIM(A26), "" ""), COUNTA(SPLIT(TRIM(A26), "" "")))) &amp; ""@zupee.in""
   ), 
   """&amp;""")"),"")</f>
        <v/>
      </c>
      <c r="C26" s="10"/>
    </row>
    <row r="27" ht="15.75" customHeight="1">
      <c r="A27" s="12"/>
      <c r="B27" s="9" t="str">
        <f>IFERROR(__xludf.DUMMYFUNCTION("IF(A27&lt;&gt;"""", 
   IF(COUNTA(SPLIT(TRIM(A27), "" ""))=1, 
      LOWER(TRIM(A27)) &amp; ""@zupee.in"", 
      LOWER(INDEX(SPLIT(TRIM(A27), "" ""), 1)) &amp; ""."" &amp; LOWER(INDEX(SPLIT(TRIM(A27), "" ""), COUNTA(SPLIT(TRIM(A27), "" "")))) &amp; ""@zupee.in""
   ), 
   """&amp;""")"),"")</f>
        <v/>
      </c>
      <c r="C27" s="10"/>
    </row>
    <row r="28" ht="15.75" customHeight="1">
      <c r="A28" s="12"/>
      <c r="B28" s="9" t="str">
        <f>IFERROR(__xludf.DUMMYFUNCTION("IF(A28&lt;&gt;"""", 
   IF(COUNTA(SPLIT(TRIM(A28), "" ""))=1, 
      LOWER(TRIM(A28)) &amp; ""@zupee.in"", 
      LOWER(INDEX(SPLIT(TRIM(A28), "" ""), 1)) &amp; ""."" &amp; LOWER(INDEX(SPLIT(TRIM(A28), "" ""), COUNTA(SPLIT(TRIM(A28), "" "")))) &amp; ""@zupee.in""
   ), 
   """&amp;""")"),"")</f>
        <v/>
      </c>
      <c r="C28" s="10"/>
    </row>
    <row r="29" ht="15.75" customHeight="1">
      <c r="A29" s="12"/>
      <c r="B29" s="9" t="str">
        <f>IFERROR(__xludf.DUMMYFUNCTION("IF(A29&lt;&gt;"""", 
   IF(COUNTA(SPLIT(TRIM(A29), "" ""))=1, 
      LOWER(TRIM(A29)) &amp; ""@zupee.in"", 
      LOWER(INDEX(SPLIT(TRIM(A29), "" ""), 1)) &amp; ""."" &amp; LOWER(INDEX(SPLIT(TRIM(A29), "" ""), COUNTA(SPLIT(TRIM(A29), "" "")))) &amp; ""@zupee.in""
   ), 
   """&amp;""")"),"")</f>
        <v/>
      </c>
      <c r="C29" s="10"/>
    </row>
    <row r="30" ht="15.75" customHeight="1">
      <c r="A30" s="12"/>
      <c r="B30" s="9" t="str">
        <f>IFERROR(__xludf.DUMMYFUNCTION("IF(A30&lt;&gt;"""", 
   IF(COUNTA(SPLIT(TRIM(A30), "" ""))=1, 
      LOWER(TRIM(A30)) &amp; ""@zupee.in"", 
      LOWER(INDEX(SPLIT(TRIM(A30), "" ""), 1)) &amp; ""."" &amp; LOWER(INDEX(SPLIT(TRIM(A30), "" ""), COUNTA(SPLIT(TRIM(A30), "" "")))) &amp; ""@zupee.in""
   ), 
   """&amp;""")"),"")</f>
        <v/>
      </c>
      <c r="C30" s="10"/>
    </row>
    <row r="31" ht="15.75" customHeight="1">
      <c r="A31" s="12"/>
      <c r="B31" s="9" t="str">
        <f>IFERROR(__xludf.DUMMYFUNCTION("IF(A31&lt;&gt;"""", 
   IF(COUNTA(SPLIT(TRIM(A31), "" ""))=1, 
      LOWER(TRIM(A31)) &amp; ""@zupee.in"", 
      LOWER(INDEX(SPLIT(TRIM(A31), "" ""), 1)) &amp; ""."" &amp; LOWER(INDEX(SPLIT(TRIM(A31), "" ""), COUNTA(SPLIT(TRIM(A31), "" "")))) &amp; ""@zupee.in""
   ), 
   """&amp;""")"),"")</f>
        <v/>
      </c>
      <c r="C31" s="10"/>
    </row>
    <row r="32" ht="15.75" customHeight="1">
      <c r="A32" s="12"/>
      <c r="B32" s="9" t="str">
        <f>IFERROR(__xludf.DUMMYFUNCTION("IF(A32&lt;&gt;"""", 
   IF(COUNTA(SPLIT(TRIM(A32), "" ""))=1, 
      LOWER(TRIM(A32)) &amp; ""@zupee.in"", 
      LOWER(INDEX(SPLIT(TRIM(A32), "" ""), 1)) &amp; ""."" &amp; LOWER(INDEX(SPLIT(TRIM(A32), "" ""), COUNTA(SPLIT(TRIM(A32), "" "")))) &amp; ""@zupee.in""
   ), 
   """&amp;""")"),"")</f>
        <v/>
      </c>
      <c r="C32" s="10"/>
    </row>
    <row r="33" ht="15.75" customHeight="1">
      <c r="A33" s="12"/>
      <c r="B33" s="9" t="str">
        <f>IFERROR(__xludf.DUMMYFUNCTION("IF(A33&lt;&gt;"""", 
   IF(COUNTA(SPLIT(TRIM(A33), "" ""))=1, 
      LOWER(TRIM(A33)) &amp; ""@zupee.in"", 
      LOWER(INDEX(SPLIT(TRIM(A33), "" ""), 1)) &amp; ""."" &amp; LOWER(INDEX(SPLIT(TRIM(A33), "" ""), COUNTA(SPLIT(TRIM(A33), "" "")))) &amp; ""@zupee.in""
   ), 
   """&amp;""")"),"")</f>
        <v/>
      </c>
      <c r="C33" s="10"/>
    </row>
    <row r="34" ht="15.75" customHeight="1">
      <c r="A34" s="12"/>
      <c r="B34" s="9" t="str">
        <f>IFERROR(__xludf.DUMMYFUNCTION("IF(A34&lt;&gt;"""", 
   IF(COUNTA(SPLIT(TRIM(A34), "" ""))=1, 
      LOWER(TRIM(A34)) &amp; ""@zupee.in"", 
      LOWER(INDEX(SPLIT(TRIM(A34), "" ""), 1)) &amp; ""."" &amp; LOWER(INDEX(SPLIT(TRIM(A34), "" ""), COUNTA(SPLIT(TRIM(A34), "" "")))) &amp; ""@zupee.in""
   ), 
   """&amp;""")"),"")</f>
        <v/>
      </c>
      <c r="C34" s="10"/>
    </row>
    <row r="35" ht="15.75" customHeight="1">
      <c r="A35" s="12"/>
      <c r="B35" s="9" t="str">
        <f>IFERROR(__xludf.DUMMYFUNCTION("IF(A35&lt;&gt;"""", 
   IF(COUNTA(SPLIT(TRIM(A35), "" ""))=1, 
      LOWER(TRIM(A35)) &amp; ""@zupee.in"", 
      LOWER(INDEX(SPLIT(TRIM(A35), "" ""), 1)) &amp; ""."" &amp; LOWER(INDEX(SPLIT(TRIM(A35), "" ""), COUNTA(SPLIT(TRIM(A35), "" "")))) &amp; ""@zupee.in""
   ), 
   """&amp;""")"),"")</f>
        <v/>
      </c>
      <c r="C35" s="10"/>
    </row>
    <row r="36" ht="15.75" customHeight="1">
      <c r="A36" s="12"/>
      <c r="B36" s="9" t="str">
        <f>IFERROR(__xludf.DUMMYFUNCTION("IF(A36&lt;&gt;"""", 
   IF(COUNTA(SPLIT(TRIM(A36), "" ""))=1, 
      LOWER(TRIM(A36)) &amp; ""@zupee.in"", 
      LOWER(INDEX(SPLIT(TRIM(A36), "" ""), 1)) &amp; ""."" &amp; LOWER(INDEX(SPLIT(TRIM(A36), "" ""), COUNTA(SPLIT(TRIM(A36), "" "")))) &amp; ""@zupee.in""
   ), 
   """&amp;""")"),"")</f>
        <v/>
      </c>
      <c r="C36" s="10"/>
    </row>
    <row r="37" ht="15.75" customHeight="1">
      <c r="A37" s="12"/>
      <c r="B37" s="9" t="str">
        <f>IFERROR(__xludf.DUMMYFUNCTION("IF(A37&lt;&gt;"""", 
   IF(COUNTA(SPLIT(TRIM(A37), "" ""))=1, 
      LOWER(TRIM(A37)) &amp; ""@zupee.in"", 
      LOWER(INDEX(SPLIT(TRIM(A37), "" ""), 1)) &amp; ""."" &amp; LOWER(INDEX(SPLIT(TRIM(A37), "" ""), COUNTA(SPLIT(TRIM(A37), "" "")))) &amp; ""@zupee.in""
   ), 
   """&amp;""")"),"")</f>
        <v/>
      </c>
      <c r="C37" s="10"/>
    </row>
    <row r="38" ht="15.75" customHeight="1">
      <c r="A38" s="12"/>
      <c r="B38" s="9" t="str">
        <f>IFERROR(__xludf.DUMMYFUNCTION("IF(A38&lt;&gt;"""", 
   IF(COUNTA(SPLIT(TRIM(A38), "" ""))=1, 
      LOWER(TRIM(A38)) &amp; ""@zupee.in"", 
      LOWER(INDEX(SPLIT(TRIM(A38), "" ""), 1)) &amp; ""."" &amp; LOWER(INDEX(SPLIT(TRIM(A38), "" ""), COUNTA(SPLIT(TRIM(A38), "" "")))) &amp; ""@zupee.in""
   ), 
   """&amp;""")"),"")</f>
        <v/>
      </c>
      <c r="C38" s="10"/>
    </row>
    <row r="39" ht="15.75" customHeight="1">
      <c r="A39" s="12"/>
      <c r="B39" s="9" t="str">
        <f>IFERROR(__xludf.DUMMYFUNCTION("IF(A39&lt;&gt;"""", 
   IF(COUNTA(SPLIT(TRIM(A39), "" ""))=1, 
      LOWER(TRIM(A39)) &amp; ""@zupee.in"", 
      LOWER(INDEX(SPLIT(TRIM(A39), "" ""), 1)) &amp; ""."" &amp; LOWER(INDEX(SPLIT(TRIM(A39), "" ""), COUNTA(SPLIT(TRIM(A39), "" "")))) &amp; ""@zupee.in""
   ), 
   """&amp;""")"),"")</f>
        <v/>
      </c>
      <c r="C39" s="10"/>
    </row>
    <row r="40" ht="15.75" customHeight="1">
      <c r="A40" s="12"/>
      <c r="B40" s="9" t="str">
        <f>IFERROR(__xludf.DUMMYFUNCTION("IF(A40&lt;&gt;"""", 
   IF(COUNTA(SPLIT(TRIM(A40), "" ""))=1, 
      LOWER(TRIM(A40)) &amp; ""@zupee.in"", 
      LOWER(INDEX(SPLIT(TRIM(A40), "" ""), 1)) &amp; ""."" &amp; LOWER(INDEX(SPLIT(TRIM(A40), "" ""), COUNTA(SPLIT(TRIM(A40), "" "")))) &amp; ""@zupee.in""
   ), 
   """&amp;""")"),"")</f>
        <v/>
      </c>
      <c r="C40" s="10"/>
    </row>
    <row r="41" ht="15.75" customHeight="1">
      <c r="A41" s="12"/>
      <c r="B41" s="9" t="str">
        <f>IFERROR(__xludf.DUMMYFUNCTION("IF(A41&lt;&gt;"""", 
   IF(COUNTA(SPLIT(TRIM(A41), "" ""))=1, 
      LOWER(TRIM(A41)) &amp; ""@zupee.in"", 
      LOWER(INDEX(SPLIT(TRIM(A41), "" ""), 1)) &amp; ""."" &amp; LOWER(INDEX(SPLIT(TRIM(A41), "" ""), COUNTA(SPLIT(TRIM(A41), "" "")))) &amp; ""@zupee.in""
   ), 
   """&amp;""")"),"")</f>
        <v/>
      </c>
      <c r="C41" s="10"/>
    </row>
    <row r="42" ht="15.75" customHeight="1">
      <c r="A42" s="12"/>
      <c r="B42" s="9" t="str">
        <f>IFERROR(__xludf.DUMMYFUNCTION("IF(A42&lt;&gt;"""", 
   IF(COUNTA(SPLIT(TRIM(A42), "" ""))=1, 
      LOWER(TRIM(A42)) &amp; ""@zupee.in"", 
      LOWER(INDEX(SPLIT(TRIM(A42), "" ""), 1)) &amp; ""."" &amp; LOWER(INDEX(SPLIT(TRIM(A42), "" ""), COUNTA(SPLIT(TRIM(A42), "" "")))) &amp; ""@zupee.in""
   ), 
   """&amp;""")"),"")</f>
        <v/>
      </c>
      <c r="C42" s="10"/>
    </row>
    <row r="43" ht="15.75" customHeight="1">
      <c r="A43" s="12"/>
      <c r="B43" s="9" t="str">
        <f>IFERROR(__xludf.DUMMYFUNCTION("IF(A43&lt;&gt;"""", 
   IF(COUNTA(SPLIT(TRIM(A43), "" ""))=1, 
      LOWER(TRIM(A43)) &amp; ""@zupee.in"", 
      LOWER(INDEX(SPLIT(TRIM(A43), "" ""), 1)) &amp; ""."" &amp; LOWER(INDEX(SPLIT(TRIM(A43), "" ""), COUNTA(SPLIT(TRIM(A43), "" "")))) &amp; ""@zupee.in""
   ), 
   """&amp;""")"),"")</f>
        <v/>
      </c>
      <c r="C43" s="10"/>
    </row>
    <row r="44" ht="15.75" customHeight="1">
      <c r="A44" s="12"/>
      <c r="B44" s="9" t="str">
        <f>IFERROR(__xludf.DUMMYFUNCTION("IF(A44&lt;&gt;"""", 
   IF(COUNTA(SPLIT(TRIM(A44), "" ""))=1, 
      LOWER(TRIM(A44)) &amp; ""@zupee.in"", 
      LOWER(INDEX(SPLIT(TRIM(A44), "" ""), 1)) &amp; ""."" &amp; LOWER(INDEX(SPLIT(TRIM(A44), "" ""), COUNTA(SPLIT(TRIM(A44), "" "")))) &amp; ""@zupee.in""
   ), 
   """&amp;""")"),"")</f>
        <v/>
      </c>
      <c r="C44" s="10"/>
    </row>
    <row r="45" ht="15.75" customHeight="1">
      <c r="A45" s="12"/>
      <c r="B45" s="9" t="str">
        <f>IFERROR(__xludf.DUMMYFUNCTION("IF(A45&lt;&gt;"""", 
   IF(COUNTA(SPLIT(TRIM(A45), "" ""))=1, 
      LOWER(TRIM(A45)) &amp; ""@zupee.in"", 
      LOWER(INDEX(SPLIT(TRIM(A45), "" ""), 1)) &amp; ""."" &amp; LOWER(INDEX(SPLIT(TRIM(A45), "" ""), COUNTA(SPLIT(TRIM(A45), "" "")))) &amp; ""@zupee.in""
   ), 
   """&amp;""")"),"")</f>
        <v/>
      </c>
      <c r="C45" s="10"/>
    </row>
    <row r="46" ht="15.75" customHeight="1">
      <c r="A46" s="12"/>
      <c r="B46" s="9" t="str">
        <f>IFERROR(__xludf.DUMMYFUNCTION("IF(A46&lt;&gt;"""", 
   IF(COUNTA(SPLIT(TRIM(A46), "" ""))=1, 
      LOWER(TRIM(A46)) &amp; ""@zupee.in"", 
      LOWER(INDEX(SPLIT(TRIM(A46), "" ""), 1)) &amp; ""."" &amp; LOWER(INDEX(SPLIT(TRIM(A46), "" ""), COUNTA(SPLIT(TRIM(A46), "" "")))) &amp; ""@zupee.in""
   ), 
   """&amp;""")"),"")</f>
        <v/>
      </c>
      <c r="C46" s="10"/>
    </row>
    <row r="47" ht="15.75" customHeight="1">
      <c r="A47" s="12"/>
      <c r="B47" s="9" t="str">
        <f>IFERROR(__xludf.DUMMYFUNCTION("IF(A47&lt;&gt;"""", 
   IF(COUNTA(SPLIT(TRIM(A47), "" ""))=1, 
      LOWER(TRIM(A47)) &amp; ""@zupee.in"", 
      LOWER(INDEX(SPLIT(TRIM(A47), "" ""), 1)) &amp; ""."" &amp; LOWER(INDEX(SPLIT(TRIM(A47), "" ""), COUNTA(SPLIT(TRIM(A47), "" "")))) &amp; ""@zupee.in""
   ), 
   """&amp;""")"),"")</f>
        <v/>
      </c>
      <c r="C47" s="10"/>
    </row>
    <row r="48" ht="15.75" customHeight="1">
      <c r="A48" s="12"/>
      <c r="B48" s="9" t="str">
        <f>IFERROR(__xludf.DUMMYFUNCTION("IF(A48&lt;&gt;"""", 
   IF(COUNTA(SPLIT(TRIM(A48), "" ""))=1, 
      LOWER(TRIM(A48)) &amp; ""@zupee.in"", 
      LOWER(INDEX(SPLIT(TRIM(A48), "" ""), 1)) &amp; ""."" &amp; LOWER(INDEX(SPLIT(TRIM(A48), "" ""), COUNTA(SPLIT(TRIM(A48), "" "")))) &amp; ""@zupee.in""
   ), 
   """&amp;""")"),"")</f>
        <v/>
      </c>
      <c r="C48" s="10"/>
    </row>
    <row r="49" ht="15.75" customHeight="1">
      <c r="A49" s="12"/>
      <c r="B49" s="9" t="str">
        <f>IFERROR(__xludf.DUMMYFUNCTION("IF(A49&lt;&gt;"""", 
   IF(COUNTA(SPLIT(TRIM(A49), "" ""))=1, 
      LOWER(TRIM(A49)) &amp; ""@zupee.in"", 
      LOWER(INDEX(SPLIT(TRIM(A49), "" ""), 1)) &amp; ""."" &amp; LOWER(INDEX(SPLIT(TRIM(A49), "" ""), COUNTA(SPLIT(TRIM(A49), "" "")))) &amp; ""@zupee.in""
   ), 
   """&amp;""")"),"")</f>
        <v/>
      </c>
      <c r="C49" s="10"/>
    </row>
    <row r="50" ht="15.75" customHeight="1">
      <c r="A50" s="12"/>
      <c r="B50" s="9" t="str">
        <f>IFERROR(__xludf.DUMMYFUNCTION("IF(A50&lt;&gt;"""", 
   IF(COUNTA(SPLIT(TRIM(A50), "" ""))=1, 
      LOWER(TRIM(A50)) &amp; ""@zupee.in"", 
      LOWER(INDEX(SPLIT(TRIM(A50), "" ""), 1)) &amp; ""."" &amp; LOWER(INDEX(SPLIT(TRIM(A50), "" ""), COUNTA(SPLIT(TRIM(A50), "" "")))) &amp; ""@zupee.in""
   ), 
   """&amp;""")"),"")</f>
        <v/>
      </c>
      <c r="C50" s="10"/>
    </row>
    <row r="51" ht="15.75" customHeight="1">
      <c r="A51" s="12"/>
      <c r="B51" s="9" t="str">
        <f>IFERROR(__xludf.DUMMYFUNCTION("IF(A51&lt;&gt;"""", 
   IF(COUNTA(SPLIT(TRIM(A51), "" ""))=1, 
      LOWER(TRIM(A51)) &amp; ""@zupee.in"", 
      LOWER(INDEX(SPLIT(TRIM(A51), "" ""), 1)) &amp; ""."" &amp; LOWER(INDEX(SPLIT(TRIM(A51), "" ""), COUNTA(SPLIT(TRIM(A51), "" "")))) &amp; ""@zupee.in""
   ), 
   """&amp;""")"),"")</f>
        <v/>
      </c>
      <c r="C51" s="10"/>
    </row>
    <row r="52" ht="15.75" customHeight="1">
      <c r="A52" s="12"/>
      <c r="B52" s="9" t="str">
        <f>IFERROR(__xludf.DUMMYFUNCTION("IF(A52&lt;&gt;"""", 
   IF(COUNTA(SPLIT(TRIM(A52), "" ""))=1, 
      LOWER(TRIM(A52)) &amp; ""@zupee.in"", 
      LOWER(INDEX(SPLIT(TRIM(A52), "" ""), 1)) &amp; ""."" &amp; LOWER(INDEX(SPLIT(TRIM(A52), "" ""), COUNTA(SPLIT(TRIM(A52), "" "")))) &amp; ""@zupee.in""
   ), 
   """&amp;""")"),"")</f>
        <v/>
      </c>
      <c r="C52" s="10"/>
    </row>
    <row r="53" ht="15.75" customHeight="1">
      <c r="A53" s="12"/>
      <c r="B53" s="9" t="str">
        <f>IFERROR(__xludf.DUMMYFUNCTION("IF(A53&lt;&gt;"""", 
   IF(COUNTA(SPLIT(TRIM(A53), "" ""))=1, 
      LOWER(TRIM(A53)) &amp; ""@zupee.in"", 
      LOWER(INDEX(SPLIT(TRIM(A53), "" ""), 1)) &amp; ""."" &amp; LOWER(INDEX(SPLIT(TRIM(A53), "" ""), COUNTA(SPLIT(TRIM(A53), "" "")))) &amp; ""@zupee.in""
   ), 
   """&amp;""")"),"")</f>
        <v/>
      </c>
      <c r="C53" s="10"/>
    </row>
    <row r="54" ht="15.75" customHeight="1">
      <c r="A54" s="12"/>
      <c r="B54" s="9" t="str">
        <f>IFERROR(__xludf.DUMMYFUNCTION("IF(A54&lt;&gt;"""", 
   IF(COUNTA(SPLIT(TRIM(A54), "" ""))=1, 
      LOWER(TRIM(A54)) &amp; ""@zupee.in"", 
      LOWER(INDEX(SPLIT(TRIM(A54), "" ""), 1)) &amp; ""."" &amp; LOWER(INDEX(SPLIT(TRIM(A54), "" ""), COUNTA(SPLIT(TRIM(A54), "" "")))) &amp; ""@zupee.in""
   ), 
   """&amp;""")"),"")</f>
        <v/>
      </c>
      <c r="C54" s="10"/>
    </row>
    <row r="55" ht="15.75" customHeight="1">
      <c r="A55" s="12"/>
      <c r="B55" s="9" t="str">
        <f>IFERROR(__xludf.DUMMYFUNCTION("IF(A55&lt;&gt;"""", 
   IF(COUNTA(SPLIT(TRIM(A55), "" ""))=1, 
      LOWER(TRIM(A55)) &amp; ""@zupee.in"", 
      LOWER(INDEX(SPLIT(TRIM(A55), "" ""), 1)) &amp; ""."" &amp; LOWER(INDEX(SPLIT(TRIM(A55), "" ""), COUNTA(SPLIT(TRIM(A55), "" "")))) &amp; ""@zupee.in""
   ), 
   """&amp;""")"),"")</f>
        <v/>
      </c>
      <c r="C55" s="10"/>
    </row>
    <row r="56" ht="15.75" customHeight="1">
      <c r="A56" s="12"/>
      <c r="B56" s="9" t="str">
        <f>IFERROR(__xludf.DUMMYFUNCTION("IF(A56&lt;&gt;"""", 
   IF(COUNTA(SPLIT(TRIM(A56), "" ""))=1, 
      LOWER(TRIM(A56)) &amp; ""@zupee.in"", 
      LOWER(INDEX(SPLIT(TRIM(A56), "" ""), 1)) &amp; ""."" &amp; LOWER(INDEX(SPLIT(TRIM(A56), "" ""), COUNTA(SPLIT(TRIM(A56), "" "")))) &amp; ""@zupee.in""
   ), 
   """&amp;""")"),"")</f>
        <v/>
      </c>
      <c r="C56" s="10"/>
    </row>
    <row r="57" ht="15.75" customHeight="1">
      <c r="A57" s="12"/>
      <c r="B57" s="9" t="str">
        <f>IFERROR(__xludf.DUMMYFUNCTION("IF(A57&lt;&gt;"""", 
   IF(COUNTA(SPLIT(TRIM(A57), "" ""))=1, 
      LOWER(TRIM(A57)) &amp; ""@zupee.in"", 
      LOWER(INDEX(SPLIT(TRIM(A57), "" ""), 1)) &amp; ""."" &amp; LOWER(INDEX(SPLIT(TRIM(A57), "" ""), COUNTA(SPLIT(TRIM(A57), "" "")))) &amp; ""@zupee.in""
   ), 
   """&amp;""")"),"")</f>
        <v/>
      </c>
      <c r="C57" s="10"/>
    </row>
    <row r="58" ht="15.75" customHeight="1">
      <c r="A58" s="12"/>
      <c r="B58" s="9" t="str">
        <f>IFERROR(__xludf.DUMMYFUNCTION("IF(A58&lt;&gt;"""", 
   IF(COUNTA(SPLIT(TRIM(A58), "" ""))=1, 
      LOWER(TRIM(A58)) &amp; ""@zupee.in"", 
      LOWER(INDEX(SPLIT(TRIM(A58), "" ""), 1)) &amp; ""."" &amp; LOWER(INDEX(SPLIT(TRIM(A58), "" ""), COUNTA(SPLIT(TRIM(A58), "" "")))) &amp; ""@zupee.in""
   ), 
   """&amp;""")"),"")</f>
        <v/>
      </c>
      <c r="C58" s="10"/>
    </row>
    <row r="59" ht="15.75" customHeight="1">
      <c r="A59" s="12"/>
      <c r="B59" s="9" t="str">
        <f>IFERROR(__xludf.DUMMYFUNCTION("IF(A59&lt;&gt;"""", 
   IF(COUNTA(SPLIT(TRIM(A59), "" ""))=1, 
      LOWER(TRIM(A59)) &amp; ""@zupee.in"", 
      LOWER(INDEX(SPLIT(TRIM(A59), "" ""), 1)) &amp; ""."" &amp; LOWER(INDEX(SPLIT(TRIM(A59), "" ""), COUNTA(SPLIT(TRIM(A59), "" "")))) &amp; ""@zupee.in""
   ), 
   """&amp;""")"),"")</f>
        <v/>
      </c>
      <c r="C59" s="10"/>
    </row>
    <row r="60" ht="15.75" customHeight="1">
      <c r="A60" s="12"/>
      <c r="B60" s="9" t="str">
        <f>IFERROR(__xludf.DUMMYFUNCTION("IF(A60&lt;&gt;"""", 
   IF(COUNTA(SPLIT(TRIM(A60), "" ""))=1, 
      LOWER(TRIM(A60)) &amp; ""@zupee.in"", 
      LOWER(INDEX(SPLIT(TRIM(A60), "" ""), 1)) &amp; ""."" &amp; LOWER(INDEX(SPLIT(TRIM(A60), "" ""), COUNTA(SPLIT(TRIM(A60), "" "")))) &amp; ""@zupee.in""
   ), 
   """&amp;""")"),"")</f>
        <v/>
      </c>
      <c r="C60" s="10"/>
    </row>
    <row r="61" ht="15.75" customHeight="1">
      <c r="A61" s="12"/>
      <c r="B61" s="9" t="str">
        <f>IFERROR(__xludf.DUMMYFUNCTION("IF(A61&lt;&gt;"""", 
   IF(COUNTA(SPLIT(TRIM(A61), "" ""))=1, 
      LOWER(TRIM(A61)) &amp; ""@zupee.in"", 
      LOWER(INDEX(SPLIT(TRIM(A61), "" ""), 1)) &amp; ""."" &amp; LOWER(INDEX(SPLIT(TRIM(A61), "" ""), COUNTA(SPLIT(TRIM(A61), "" "")))) &amp; ""@zupee.in""
   ), 
   """&amp;""")"),"")</f>
        <v/>
      </c>
      <c r="C61" s="10"/>
    </row>
    <row r="62" ht="15.75" customHeight="1">
      <c r="A62" s="12"/>
      <c r="B62" s="9" t="str">
        <f>IFERROR(__xludf.DUMMYFUNCTION("IF(A62&lt;&gt;"""", 
   IF(COUNTA(SPLIT(TRIM(A62), "" ""))=1, 
      LOWER(TRIM(A62)) &amp; ""@zupee.in"", 
      LOWER(INDEX(SPLIT(TRIM(A62), "" ""), 1)) &amp; ""."" &amp; LOWER(INDEX(SPLIT(TRIM(A62), "" ""), COUNTA(SPLIT(TRIM(A62), "" "")))) &amp; ""@zupee.in""
   ), 
   """&amp;""")"),"")</f>
        <v/>
      </c>
      <c r="C62" s="10"/>
    </row>
    <row r="63" ht="15.75" customHeight="1">
      <c r="A63" s="12"/>
      <c r="B63" s="9" t="str">
        <f>IFERROR(__xludf.DUMMYFUNCTION("IF(A63&lt;&gt;"""", 
   IF(COUNTA(SPLIT(TRIM(A63), "" ""))=1, 
      LOWER(TRIM(A63)) &amp; ""@zupee.in"", 
      LOWER(INDEX(SPLIT(TRIM(A63), "" ""), 1)) &amp; ""."" &amp; LOWER(INDEX(SPLIT(TRIM(A63), "" ""), COUNTA(SPLIT(TRIM(A63), "" "")))) &amp; ""@zupee.in""
   ), 
   """&amp;""")"),"")</f>
        <v/>
      </c>
      <c r="C63" s="10"/>
    </row>
    <row r="64" ht="15.75" customHeight="1">
      <c r="A64" s="12"/>
      <c r="B64" s="9" t="str">
        <f>IFERROR(__xludf.DUMMYFUNCTION("IF(A64&lt;&gt;"""", 
   IF(COUNTA(SPLIT(TRIM(A64), "" ""))=1, 
      LOWER(TRIM(A64)) &amp; ""@zupee.in"", 
      LOWER(INDEX(SPLIT(TRIM(A64), "" ""), 1)) &amp; ""."" &amp; LOWER(INDEX(SPLIT(TRIM(A64), "" ""), COUNTA(SPLIT(TRIM(A64), "" "")))) &amp; ""@zupee.in""
   ), 
   """&amp;""")"),"")</f>
        <v/>
      </c>
      <c r="C64" s="10"/>
    </row>
    <row r="65" ht="15.75" customHeight="1">
      <c r="A65" s="12"/>
      <c r="B65" s="9" t="str">
        <f>IFERROR(__xludf.DUMMYFUNCTION("IF(A65&lt;&gt;"""", 
   IF(COUNTA(SPLIT(TRIM(A65), "" ""))=1, 
      LOWER(TRIM(A65)) &amp; ""@zupee.in"", 
      LOWER(INDEX(SPLIT(TRIM(A65), "" ""), 1)) &amp; ""."" &amp; LOWER(INDEX(SPLIT(TRIM(A65), "" ""), COUNTA(SPLIT(TRIM(A65), "" "")))) &amp; ""@zupee.in""
   ), 
   """&amp;""")"),"")</f>
        <v/>
      </c>
      <c r="C65" s="10"/>
    </row>
    <row r="66" ht="15.75" customHeight="1">
      <c r="A66" s="12"/>
      <c r="B66" s="9" t="str">
        <f>IFERROR(__xludf.DUMMYFUNCTION("IF(A66&lt;&gt;"""", 
   IF(COUNTA(SPLIT(TRIM(A66), "" ""))=1, 
      LOWER(TRIM(A66)) &amp; ""@zupee.in"", 
      LOWER(INDEX(SPLIT(TRIM(A66), "" ""), 1)) &amp; ""."" &amp; LOWER(INDEX(SPLIT(TRIM(A66), "" ""), COUNTA(SPLIT(TRIM(A66), "" "")))) &amp; ""@zupee.in""
   ), 
   """&amp;""")"),"")</f>
        <v/>
      </c>
      <c r="C66" s="10"/>
    </row>
    <row r="67" ht="15.75" customHeight="1">
      <c r="A67" s="12"/>
      <c r="B67" s="9" t="str">
        <f>IFERROR(__xludf.DUMMYFUNCTION("IF(A67&lt;&gt;"""", 
   IF(COUNTA(SPLIT(TRIM(A67), "" ""))=1, 
      LOWER(TRIM(A67)) &amp; ""@zupee.in"", 
      LOWER(INDEX(SPLIT(TRIM(A67), "" ""), 1)) &amp; ""."" &amp; LOWER(INDEX(SPLIT(TRIM(A67), "" ""), COUNTA(SPLIT(TRIM(A67), "" "")))) &amp; ""@zupee.in""
   ), 
   """&amp;""")"),"")</f>
        <v/>
      </c>
      <c r="C67" s="10"/>
    </row>
    <row r="68" ht="15.75" customHeight="1">
      <c r="A68" s="12"/>
      <c r="B68" s="9" t="str">
        <f>IFERROR(__xludf.DUMMYFUNCTION("IF(A68&lt;&gt;"""", 
   IF(COUNTA(SPLIT(TRIM(A68), "" ""))=1, 
      LOWER(TRIM(A68)) &amp; ""@zupee.in"", 
      LOWER(INDEX(SPLIT(TRIM(A68), "" ""), 1)) &amp; ""."" &amp; LOWER(INDEX(SPLIT(TRIM(A68), "" ""), COUNTA(SPLIT(TRIM(A68), "" "")))) &amp; ""@zupee.in""
   ), 
   """&amp;""")"),"")</f>
        <v/>
      </c>
      <c r="C68" s="10"/>
    </row>
    <row r="69" ht="15.75" customHeight="1">
      <c r="A69" s="12"/>
      <c r="B69" s="9" t="str">
        <f>IFERROR(__xludf.DUMMYFUNCTION("IF(A69&lt;&gt;"""", 
   IF(COUNTA(SPLIT(TRIM(A69), "" ""))=1, 
      LOWER(TRIM(A69)) &amp; ""@zupee.in"", 
      LOWER(INDEX(SPLIT(TRIM(A69), "" ""), 1)) &amp; ""."" &amp; LOWER(INDEX(SPLIT(TRIM(A69), "" ""), COUNTA(SPLIT(TRIM(A69), "" "")))) &amp; ""@zupee.in""
   ), 
   """&amp;""")"),"")</f>
        <v/>
      </c>
      <c r="C69" s="10"/>
    </row>
    <row r="70" ht="15.75" customHeight="1">
      <c r="A70" s="12"/>
      <c r="B70" s="9" t="str">
        <f>IFERROR(__xludf.DUMMYFUNCTION("IF(A70&lt;&gt;"""", 
   IF(COUNTA(SPLIT(TRIM(A70), "" ""))=1, 
      LOWER(TRIM(A70)) &amp; ""@zupee.in"", 
      LOWER(INDEX(SPLIT(TRIM(A70), "" ""), 1)) &amp; ""."" &amp; LOWER(INDEX(SPLIT(TRIM(A70), "" ""), COUNTA(SPLIT(TRIM(A70), "" "")))) &amp; ""@zupee.in""
   ), 
   """&amp;""")"),"")</f>
        <v/>
      </c>
      <c r="C70" s="10"/>
    </row>
    <row r="71" ht="15.75" customHeight="1">
      <c r="A71" s="12"/>
      <c r="B71" s="9" t="str">
        <f>IFERROR(__xludf.DUMMYFUNCTION("IF(A71&lt;&gt;"""", 
   IF(COUNTA(SPLIT(TRIM(A71), "" ""))=1, 
      LOWER(TRIM(A71)) &amp; ""@zupee.in"", 
      LOWER(INDEX(SPLIT(TRIM(A71), "" ""), 1)) &amp; ""."" &amp; LOWER(INDEX(SPLIT(TRIM(A71), "" ""), COUNTA(SPLIT(TRIM(A71), "" "")))) &amp; ""@zupee.in""
   ), 
   """&amp;""")"),"")</f>
        <v/>
      </c>
      <c r="C71" s="10"/>
    </row>
    <row r="72" ht="15.75" customHeight="1">
      <c r="A72" s="12"/>
      <c r="B72" s="9" t="str">
        <f>IFERROR(__xludf.DUMMYFUNCTION("IF(A72&lt;&gt;"""", 
   IF(COUNTA(SPLIT(TRIM(A72), "" ""))=1, 
      LOWER(TRIM(A72)) &amp; ""@zupee.in"", 
      LOWER(INDEX(SPLIT(TRIM(A72), "" ""), 1)) &amp; ""."" &amp; LOWER(INDEX(SPLIT(TRIM(A72), "" ""), COUNTA(SPLIT(TRIM(A72), "" "")))) &amp; ""@zupee.in""
   ), 
   """&amp;""")"),"")</f>
        <v/>
      </c>
      <c r="C72" s="10"/>
    </row>
    <row r="73" ht="15.75" customHeight="1">
      <c r="A73" s="12"/>
      <c r="B73" s="9" t="str">
        <f>IFERROR(__xludf.DUMMYFUNCTION("IF(A73&lt;&gt;"""", 
   IF(COUNTA(SPLIT(TRIM(A73), "" ""))=1, 
      LOWER(TRIM(A73)) &amp; ""@zupee.in"", 
      LOWER(INDEX(SPLIT(TRIM(A73), "" ""), 1)) &amp; ""."" &amp; LOWER(INDEX(SPLIT(TRIM(A73), "" ""), COUNTA(SPLIT(TRIM(A73), "" "")))) &amp; ""@zupee.in""
   ), 
   """&amp;""")"),"")</f>
        <v/>
      </c>
      <c r="C73" s="10"/>
    </row>
    <row r="74" ht="15.75" customHeight="1">
      <c r="A74" s="12"/>
      <c r="B74" s="9" t="str">
        <f>IFERROR(__xludf.DUMMYFUNCTION("IF(A74&lt;&gt;"""", 
   IF(COUNTA(SPLIT(TRIM(A74), "" ""))=1, 
      LOWER(TRIM(A74)) &amp; ""@zupee.in"", 
      LOWER(INDEX(SPLIT(TRIM(A74), "" ""), 1)) &amp; ""."" &amp; LOWER(INDEX(SPLIT(TRIM(A74), "" ""), COUNTA(SPLIT(TRIM(A74), "" "")))) &amp; ""@zupee.in""
   ), 
   """&amp;""")"),"")</f>
        <v/>
      </c>
      <c r="C74" s="10"/>
    </row>
    <row r="75" ht="15.75" customHeight="1">
      <c r="A75" s="12"/>
      <c r="B75" s="9" t="str">
        <f>IFERROR(__xludf.DUMMYFUNCTION("IF(A75&lt;&gt;"""", 
   IF(COUNTA(SPLIT(TRIM(A75), "" ""))=1, 
      LOWER(TRIM(A75)) &amp; ""@zupee.in"", 
      LOWER(INDEX(SPLIT(TRIM(A75), "" ""), 1)) &amp; ""."" &amp; LOWER(INDEX(SPLIT(TRIM(A75), "" ""), COUNTA(SPLIT(TRIM(A75), "" "")))) &amp; ""@zupee.in""
   ), 
   """&amp;""")"),"")</f>
        <v/>
      </c>
      <c r="C75" s="10"/>
    </row>
    <row r="76" ht="15.75" customHeight="1">
      <c r="A76" s="12"/>
      <c r="B76" s="9" t="str">
        <f>IFERROR(__xludf.DUMMYFUNCTION("IF(A76&lt;&gt;"""", 
   IF(COUNTA(SPLIT(TRIM(A76), "" ""))=1, 
      LOWER(TRIM(A76)) &amp; ""@zupee.in"", 
      LOWER(INDEX(SPLIT(TRIM(A76), "" ""), 1)) &amp; ""."" &amp; LOWER(INDEX(SPLIT(TRIM(A76), "" ""), COUNTA(SPLIT(TRIM(A76), "" "")))) &amp; ""@zupee.in""
   ), 
   """&amp;""")"),"")</f>
        <v/>
      </c>
      <c r="C76" s="10"/>
    </row>
    <row r="77" ht="15.75" customHeight="1">
      <c r="A77" s="12"/>
      <c r="B77" s="9" t="str">
        <f>IFERROR(__xludf.DUMMYFUNCTION("IF(A77&lt;&gt;"""", 
   IF(COUNTA(SPLIT(TRIM(A77), "" ""))=1, 
      LOWER(TRIM(A77)) &amp; ""@zupee.in"", 
      LOWER(INDEX(SPLIT(TRIM(A77), "" ""), 1)) &amp; ""."" &amp; LOWER(INDEX(SPLIT(TRIM(A77), "" ""), COUNTA(SPLIT(TRIM(A77), "" "")))) &amp; ""@zupee.in""
   ), 
   """&amp;""")"),"")</f>
        <v/>
      </c>
      <c r="C77" s="10"/>
    </row>
    <row r="78" ht="15.75" customHeight="1">
      <c r="A78" s="12"/>
      <c r="B78" s="9" t="str">
        <f>IFERROR(__xludf.DUMMYFUNCTION("IF(A78&lt;&gt;"""", 
   IF(COUNTA(SPLIT(TRIM(A78), "" ""))=1, 
      LOWER(TRIM(A78)) &amp; ""@zupee.in"", 
      LOWER(INDEX(SPLIT(TRIM(A78), "" ""), 1)) &amp; ""."" &amp; LOWER(INDEX(SPLIT(TRIM(A78), "" ""), COUNTA(SPLIT(TRIM(A78), "" "")))) &amp; ""@zupee.in""
   ), 
   """&amp;""")"),"")</f>
        <v/>
      </c>
      <c r="C78" s="10"/>
    </row>
    <row r="79" ht="15.75" customHeight="1">
      <c r="A79" s="12"/>
      <c r="B79" s="9" t="str">
        <f>IFERROR(__xludf.DUMMYFUNCTION("IF(A79&lt;&gt;"""", 
   IF(COUNTA(SPLIT(TRIM(A79), "" ""))=1, 
      LOWER(TRIM(A79)) &amp; ""@zupee.in"", 
      LOWER(INDEX(SPLIT(TRIM(A79), "" ""), 1)) &amp; ""."" &amp; LOWER(INDEX(SPLIT(TRIM(A79), "" ""), COUNTA(SPLIT(TRIM(A79), "" "")))) &amp; ""@zupee.in""
   ), 
   """&amp;""")"),"")</f>
        <v/>
      </c>
      <c r="C79" s="10"/>
    </row>
    <row r="80" ht="15.75" customHeight="1">
      <c r="A80" s="12"/>
      <c r="B80" s="9" t="str">
        <f>IFERROR(__xludf.DUMMYFUNCTION("IF(A80&lt;&gt;"""", 
   IF(COUNTA(SPLIT(TRIM(A80), "" ""))=1, 
      LOWER(TRIM(A80)) &amp; ""@zupee.in"", 
      LOWER(INDEX(SPLIT(TRIM(A80), "" ""), 1)) &amp; ""."" &amp; LOWER(INDEX(SPLIT(TRIM(A80), "" ""), COUNTA(SPLIT(TRIM(A80), "" "")))) &amp; ""@zupee.in""
   ), 
   """&amp;""")"),"")</f>
        <v/>
      </c>
      <c r="C80" s="10"/>
    </row>
    <row r="81" ht="15.75" customHeight="1">
      <c r="A81" s="12"/>
      <c r="B81" s="9" t="str">
        <f>IFERROR(__xludf.DUMMYFUNCTION("IF(A81&lt;&gt;"""", 
   IF(COUNTA(SPLIT(TRIM(A81), "" ""))=1, 
      LOWER(TRIM(A81)) &amp; ""@zupee.in"", 
      LOWER(INDEX(SPLIT(TRIM(A81), "" ""), 1)) &amp; ""."" &amp; LOWER(INDEX(SPLIT(TRIM(A81), "" ""), COUNTA(SPLIT(TRIM(A81), "" "")))) &amp; ""@zupee.in""
   ), 
   """&amp;""")"),"")</f>
        <v/>
      </c>
      <c r="C81" s="10"/>
    </row>
    <row r="82" ht="15.75" customHeight="1">
      <c r="A82" s="12"/>
      <c r="B82" s="9" t="str">
        <f>IFERROR(__xludf.DUMMYFUNCTION("IF(A82&lt;&gt;"""", 
   IF(COUNTA(SPLIT(TRIM(A82), "" ""))=1, 
      LOWER(TRIM(A82)) &amp; ""@zupee.in"", 
      LOWER(INDEX(SPLIT(TRIM(A82), "" ""), 1)) &amp; ""."" &amp; LOWER(INDEX(SPLIT(TRIM(A82), "" ""), COUNTA(SPLIT(TRIM(A82), "" "")))) &amp; ""@zupee.in""
   ), 
   """&amp;""")"),"")</f>
        <v/>
      </c>
      <c r="C82" s="10"/>
    </row>
    <row r="83" ht="15.75" customHeight="1">
      <c r="A83" s="12"/>
      <c r="B83" s="9" t="str">
        <f>IFERROR(__xludf.DUMMYFUNCTION("IF(A83&lt;&gt;"""", 
   IF(COUNTA(SPLIT(TRIM(A83), "" ""))=1, 
      LOWER(TRIM(A83)) &amp; ""@zupee.in"", 
      LOWER(INDEX(SPLIT(TRIM(A83), "" ""), 1)) &amp; ""."" &amp; LOWER(INDEX(SPLIT(TRIM(A83), "" ""), COUNTA(SPLIT(TRIM(A83), "" "")))) &amp; ""@zupee.in""
   ), 
   """&amp;""")"),"")</f>
        <v/>
      </c>
      <c r="C83" s="10"/>
    </row>
    <row r="84" ht="15.75" customHeight="1">
      <c r="A84" s="12"/>
      <c r="B84" s="9" t="str">
        <f>IFERROR(__xludf.DUMMYFUNCTION("IF(A84&lt;&gt;"""", 
   IF(COUNTA(SPLIT(TRIM(A84), "" ""))=1, 
      LOWER(TRIM(A84)) &amp; ""@zupee.in"", 
      LOWER(INDEX(SPLIT(TRIM(A84), "" ""), 1)) &amp; ""."" &amp; LOWER(INDEX(SPLIT(TRIM(A84), "" ""), COUNTA(SPLIT(TRIM(A84), "" "")))) &amp; ""@zupee.in""
   ), 
   """&amp;""")"),"")</f>
        <v/>
      </c>
      <c r="C84" s="10"/>
    </row>
    <row r="85" ht="15.75" customHeight="1">
      <c r="A85" s="12"/>
      <c r="B85" s="9" t="str">
        <f>IFERROR(__xludf.DUMMYFUNCTION("IF(A85&lt;&gt;"""", 
   IF(COUNTA(SPLIT(TRIM(A85), "" ""))=1, 
      LOWER(TRIM(A85)) &amp; ""@zupee.in"", 
      LOWER(INDEX(SPLIT(TRIM(A85), "" ""), 1)) &amp; ""."" &amp; LOWER(INDEX(SPLIT(TRIM(A85), "" ""), COUNTA(SPLIT(TRIM(A85), "" "")))) &amp; ""@zupee.in""
   ), 
   """&amp;""")"),"")</f>
        <v/>
      </c>
      <c r="C85" s="10"/>
    </row>
    <row r="86" ht="15.75" customHeight="1">
      <c r="A86" s="12"/>
      <c r="B86" s="9" t="str">
        <f>IFERROR(__xludf.DUMMYFUNCTION("IF(A86&lt;&gt;"""", 
   IF(COUNTA(SPLIT(TRIM(A86), "" ""))=1, 
      LOWER(TRIM(A86)) &amp; ""@zupee.in"", 
      LOWER(INDEX(SPLIT(TRIM(A86), "" ""), 1)) &amp; ""."" &amp; LOWER(INDEX(SPLIT(TRIM(A86), "" ""), COUNTA(SPLIT(TRIM(A86), "" "")))) &amp; ""@zupee.in""
   ), 
   """&amp;""")"),"")</f>
        <v/>
      </c>
      <c r="C86" s="10"/>
    </row>
    <row r="87" ht="15.75" customHeight="1">
      <c r="A87" s="12"/>
      <c r="B87" s="9" t="str">
        <f>IFERROR(__xludf.DUMMYFUNCTION("IF(A87&lt;&gt;"""", 
   IF(COUNTA(SPLIT(TRIM(A87), "" ""))=1, 
      LOWER(TRIM(A87)) &amp; ""@zupee.in"", 
      LOWER(INDEX(SPLIT(TRIM(A87), "" ""), 1)) &amp; ""."" &amp; LOWER(INDEX(SPLIT(TRIM(A87), "" ""), COUNTA(SPLIT(TRIM(A87), "" "")))) &amp; ""@zupee.in""
   ), 
   """&amp;""")"),"")</f>
        <v/>
      </c>
      <c r="C87" s="10"/>
    </row>
    <row r="88" ht="15.75" customHeight="1">
      <c r="A88" s="12"/>
      <c r="B88" s="9" t="str">
        <f>IFERROR(__xludf.DUMMYFUNCTION("IF(A88&lt;&gt;"""", 
   IF(COUNTA(SPLIT(TRIM(A88), "" ""))=1, 
      LOWER(TRIM(A88)) &amp; ""@zupee.in"", 
      LOWER(INDEX(SPLIT(TRIM(A88), "" ""), 1)) &amp; ""."" &amp; LOWER(INDEX(SPLIT(TRIM(A88), "" ""), COUNTA(SPLIT(TRIM(A88), "" "")))) &amp; ""@zupee.in""
   ), 
   """&amp;""")"),"")</f>
        <v/>
      </c>
      <c r="C88" s="10"/>
    </row>
    <row r="89" ht="15.75" customHeight="1">
      <c r="A89" s="12"/>
      <c r="B89" s="9" t="str">
        <f>IFERROR(__xludf.DUMMYFUNCTION("IF(A89&lt;&gt;"""", 
   IF(COUNTA(SPLIT(TRIM(A89), "" ""))=1, 
      LOWER(TRIM(A89)) &amp; ""@zupee.in"", 
      LOWER(INDEX(SPLIT(TRIM(A89), "" ""), 1)) &amp; ""."" &amp; LOWER(INDEX(SPLIT(TRIM(A89), "" ""), COUNTA(SPLIT(TRIM(A89), "" "")))) &amp; ""@zupee.in""
   ), 
   """&amp;""")"),"")</f>
        <v/>
      </c>
      <c r="C89" s="10"/>
    </row>
    <row r="90" ht="15.75" customHeight="1">
      <c r="A90" s="12"/>
      <c r="B90" s="9" t="str">
        <f>IFERROR(__xludf.DUMMYFUNCTION("IF(A90&lt;&gt;"""", 
   IF(COUNTA(SPLIT(TRIM(A90), "" ""))=1, 
      LOWER(TRIM(A90)) &amp; ""@zupee.in"", 
      LOWER(INDEX(SPLIT(TRIM(A90), "" ""), 1)) &amp; ""."" &amp; LOWER(INDEX(SPLIT(TRIM(A90), "" ""), COUNTA(SPLIT(TRIM(A90), "" "")))) &amp; ""@zupee.in""
   ), 
   """&amp;""")"),"")</f>
        <v/>
      </c>
      <c r="C90" s="10"/>
    </row>
    <row r="91" ht="15.75" customHeight="1">
      <c r="A91" s="12"/>
      <c r="B91" s="9" t="str">
        <f>IFERROR(__xludf.DUMMYFUNCTION("IF(A91&lt;&gt;"""", 
   IF(COUNTA(SPLIT(TRIM(A91), "" ""))=1, 
      LOWER(TRIM(A91)) &amp; ""@zupee.in"", 
      LOWER(INDEX(SPLIT(TRIM(A91), "" ""), 1)) &amp; ""."" &amp; LOWER(INDEX(SPLIT(TRIM(A91), "" ""), COUNTA(SPLIT(TRIM(A91), "" "")))) &amp; ""@zupee.in""
   ), 
   """&amp;""")"),"")</f>
        <v/>
      </c>
      <c r="C91" s="10"/>
    </row>
    <row r="92" ht="15.75" customHeight="1">
      <c r="A92" s="12"/>
      <c r="B92" s="9" t="str">
        <f>IFERROR(__xludf.DUMMYFUNCTION("IF(A92&lt;&gt;"""", 
   IF(COUNTA(SPLIT(TRIM(A92), "" ""))=1, 
      LOWER(TRIM(A92)) &amp; ""@zupee.in"", 
      LOWER(INDEX(SPLIT(TRIM(A92), "" ""), 1)) &amp; ""."" &amp; LOWER(INDEX(SPLIT(TRIM(A92), "" ""), COUNTA(SPLIT(TRIM(A92), "" "")))) &amp; ""@zupee.in""
   ), 
   """&amp;""")"),"")</f>
        <v/>
      </c>
      <c r="C92" s="10"/>
    </row>
    <row r="93" ht="15.75" customHeight="1">
      <c r="A93" s="12"/>
      <c r="B93" s="9" t="str">
        <f>IFERROR(__xludf.DUMMYFUNCTION("IF(A93&lt;&gt;"""", 
   IF(COUNTA(SPLIT(TRIM(A93), "" ""))=1, 
      LOWER(TRIM(A93)) &amp; ""@zupee.in"", 
      LOWER(INDEX(SPLIT(TRIM(A93), "" ""), 1)) &amp; ""."" &amp; LOWER(INDEX(SPLIT(TRIM(A93), "" ""), COUNTA(SPLIT(TRIM(A93), "" "")))) &amp; ""@zupee.in""
   ), 
   """&amp;""")"),"")</f>
        <v/>
      </c>
      <c r="C93" s="10"/>
    </row>
    <row r="94" ht="15.75" customHeight="1">
      <c r="A94" s="12"/>
      <c r="B94" s="9" t="str">
        <f>IFERROR(__xludf.DUMMYFUNCTION("IF(A94&lt;&gt;"""", 
   IF(COUNTA(SPLIT(TRIM(A94), "" ""))=1, 
      LOWER(TRIM(A94)) &amp; ""@zupee.in"", 
      LOWER(INDEX(SPLIT(TRIM(A94), "" ""), 1)) &amp; ""."" &amp; LOWER(INDEX(SPLIT(TRIM(A94), "" ""), COUNTA(SPLIT(TRIM(A94), "" "")))) &amp; ""@zupee.in""
   ), 
   """&amp;""")"),"")</f>
        <v/>
      </c>
      <c r="C94" s="10"/>
    </row>
    <row r="95" ht="15.75" customHeight="1">
      <c r="A95" s="12"/>
      <c r="B95" s="9" t="str">
        <f>IFERROR(__xludf.DUMMYFUNCTION("IF(A95&lt;&gt;"""", 
   IF(COUNTA(SPLIT(TRIM(A95), "" ""))=1, 
      LOWER(TRIM(A95)) &amp; ""@zupee.in"", 
      LOWER(INDEX(SPLIT(TRIM(A95), "" ""), 1)) &amp; ""."" &amp; LOWER(INDEX(SPLIT(TRIM(A95), "" ""), COUNTA(SPLIT(TRIM(A95), "" "")))) &amp; ""@zupee.in""
   ), 
   """&amp;""")"),"")</f>
        <v/>
      </c>
      <c r="C95" s="10"/>
    </row>
    <row r="96" ht="15.75" customHeight="1">
      <c r="A96" s="12"/>
      <c r="B96" s="9" t="str">
        <f>IFERROR(__xludf.DUMMYFUNCTION("IF(A96&lt;&gt;"""", 
   IF(COUNTA(SPLIT(TRIM(A96), "" ""))=1, 
      LOWER(TRIM(A96)) &amp; ""@zupee.in"", 
      LOWER(INDEX(SPLIT(TRIM(A96), "" ""), 1)) &amp; ""."" &amp; LOWER(INDEX(SPLIT(TRIM(A96), "" ""), COUNTA(SPLIT(TRIM(A96), "" "")))) &amp; ""@zupee.in""
   ), 
   """&amp;""")"),"")</f>
        <v/>
      </c>
      <c r="C96" s="10"/>
    </row>
    <row r="97" ht="15.75" customHeight="1">
      <c r="A97" s="12"/>
      <c r="B97" s="9" t="str">
        <f>IFERROR(__xludf.DUMMYFUNCTION("IF(A97&lt;&gt;"""", 
   IF(COUNTA(SPLIT(TRIM(A97), "" ""))=1, 
      LOWER(TRIM(A97)) &amp; ""@zupee.in"", 
      LOWER(INDEX(SPLIT(TRIM(A97), "" ""), 1)) &amp; ""."" &amp; LOWER(INDEX(SPLIT(TRIM(A97), "" ""), COUNTA(SPLIT(TRIM(A97), "" "")))) &amp; ""@zupee.in""
   ), 
   """&amp;""")"),"")</f>
        <v/>
      </c>
      <c r="C97" s="10"/>
    </row>
    <row r="98" ht="15.75" customHeight="1">
      <c r="A98" s="12"/>
      <c r="B98" s="9" t="str">
        <f>IFERROR(__xludf.DUMMYFUNCTION("IF(A98&lt;&gt;"""", 
   IF(COUNTA(SPLIT(TRIM(A98), "" ""))=1, 
      LOWER(TRIM(A98)) &amp; ""@zupee.in"", 
      LOWER(INDEX(SPLIT(TRIM(A98), "" ""), 1)) &amp; ""."" &amp; LOWER(INDEX(SPLIT(TRIM(A98), "" ""), COUNTA(SPLIT(TRIM(A98), "" "")))) &amp; ""@zupee.in""
   ), 
   """&amp;""")"),"")</f>
        <v/>
      </c>
      <c r="C98" s="10"/>
    </row>
    <row r="99" ht="15.75" customHeight="1">
      <c r="A99" s="12"/>
      <c r="B99" s="9" t="str">
        <f>IFERROR(__xludf.DUMMYFUNCTION("IF(A99&lt;&gt;"""", 
   IF(COUNTA(SPLIT(TRIM(A99), "" ""))=1, 
      LOWER(TRIM(A99)) &amp; ""@zupee.in"", 
      LOWER(INDEX(SPLIT(TRIM(A99), "" ""), 1)) &amp; ""."" &amp; LOWER(INDEX(SPLIT(TRIM(A99), "" ""), COUNTA(SPLIT(TRIM(A99), "" "")))) &amp; ""@zupee.in""
   ), 
   """&amp;""")"),"")</f>
        <v/>
      </c>
      <c r="C99" s="10"/>
    </row>
    <row r="100" ht="15.75" customHeight="1">
      <c r="A100" s="12"/>
      <c r="B100" s="9" t="str">
        <f>IFERROR(__xludf.DUMMYFUNCTION("IF(A100&lt;&gt;"""", 
   IF(COUNTA(SPLIT(TRIM(A100), "" ""))=1, 
      LOWER(TRIM(A100)) &amp; ""@zupee.in"", 
      LOWER(INDEX(SPLIT(TRIM(A100), "" ""), 1)) &amp; ""."" &amp; LOWER(INDEX(SPLIT(TRIM(A100), "" ""), COUNTA(SPLIT(TRIM(A100), "" "")))) &amp; ""@zupee.in""
   ), 
"&amp;"   """")"),"")</f>
        <v/>
      </c>
      <c r="C100" s="10"/>
    </row>
    <row r="101" ht="15.75" customHeight="1">
      <c r="A101" s="12"/>
      <c r="B101" s="9" t="str">
        <f>IFERROR(__xludf.DUMMYFUNCTION("IF(A101&lt;&gt;"""", 
   IF(COUNTA(SPLIT(TRIM(A101), "" ""))=1, 
      LOWER(TRIM(A101)) &amp; ""@zupee.in"", 
      LOWER(INDEX(SPLIT(TRIM(A101), "" ""), 1)) &amp; ""."" &amp; LOWER(INDEX(SPLIT(TRIM(A101), "" ""), COUNTA(SPLIT(TRIM(A101), "" "")))) &amp; ""@zupee.in""
   ), 
"&amp;"   """")"),"")</f>
        <v/>
      </c>
      <c r="C101" s="10"/>
    </row>
    <row r="102" ht="15.75" customHeight="1">
      <c r="A102" s="12"/>
      <c r="B102" s="9" t="str">
        <f>IFERROR(__xludf.DUMMYFUNCTION("IF(A102&lt;&gt;"""", 
   IF(COUNTA(SPLIT(TRIM(A102), "" ""))=1, 
      LOWER(TRIM(A102)) &amp; ""@zupee.in"", 
      LOWER(INDEX(SPLIT(TRIM(A102), "" ""), 1)) &amp; ""."" &amp; LOWER(INDEX(SPLIT(TRIM(A102), "" ""), COUNTA(SPLIT(TRIM(A102), "" "")))) &amp; ""@zupee.in""
   ), 
"&amp;"   """")"),"")</f>
        <v/>
      </c>
      <c r="C102" s="10"/>
    </row>
    <row r="103" ht="15.75" customHeight="1">
      <c r="A103" s="12"/>
      <c r="B103" s="9" t="str">
        <f>IFERROR(__xludf.DUMMYFUNCTION("IF(A103&lt;&gt;"""", 
   IF(COUNTA(SPLIT(TRIM(A103), "" ""))=1, 
      LOWER(TRIM(A103)) &amp; ""@zupee.in"", 
      LOWER(INDEX(SPLIT(TRIM(A103), "" ""), 1)) &amp; ""."" &amp; LOWER(INDEX(SPLIT(TRIM(A103), "" ""), COUNTA(SPLIT(TRIM(A103), "" "")))) &amp; ""@zupee.in""
   ), 
"&amp;"   """")"),"")</f>
        <v/>
      </c>
      <c r="C103" s="10"/>
    </row>
    <row r="104" ht="15.75" customHeight="1">
      <c r="A104" s="12"/>
      <c r="B104" s="9" t="str">
        <f>IFERROR(__xludf.DUMMYFUNCTION("IF(A104&lt;&gt;"""", 
   IF(COUNTA(SPLIT(TRIM(A104), "" ""))=1, 
      LOWER(TRIM(A104)) &amp; ""@zupee.in"", 
      LOWER(INDEX(SPLIT(TRIM(A104), "" ""), 1)) &amp; ""."" &amp; LOWER(INDEX(SPLIT(TRIM(A104), "" ""), COUNTA(SPLIT(TRIM(A104), "" "")))) &amp; ""@zupee.in""
   ), 
"&amp;"   """")"),"")</f>
        <v/>
      </c>
      <c r="C104" s="10"/>
    </row>
    <row r="105" ht="15.75" customHeight="1">
      <c r="A105" s="12"/>
      <c r="B105" s="9" t="str">
        <f>IFERROR(__xludf.DUMMYFUNCTION("IF(A105&lt;&gt;"""", 
   IF(COUNTA(SPLIT(TRIM(A105), "" ""))=1, 
      LOWER(TRIM(A105)) &amp; ""@zupee.in"", 
      LOWER(INDEX(SPLIT(TRIM(A105), "" ""), 1)) &amp; ""."" &amp; LOWER(INDEX(SPLIT(TRIM(A105), "" ""), COUNTA(SPLIT(TRIM(A105), "" "")))) &amp; ""@zupee.in""
   ), 
"&amp;"   """")"),"")</f>
        <v/>
      </c>
      <c r="C105" s="10"/>
    </row>
    <row r="106" ht="15.75" customHeight="1">
      <c r="A106" s="12"/>
      <c r="B106" s="9" t="str">
        <f>IFERROR(__xludf.DUMMYFUNCTION("IF(A106&lt;&gt;"""", 
   IF(COUNTA(SPLIT(TRIM(A106), "" ""))=1, 
      LOWER(TRIM(A106)) &amp; ""@zupee.in"", 
      LOWER(INDEX(SPLIT(TRIM(A106), "" ""), 1)) &amp; ""."" &amp; LOWER(INDEX(SPLIT(TRIM(A106), "" ""), COUNTA(SPLIT(TRIM(A106), "" "")))) &amp; ""@zupee.in""
   ), 
"&amp;"   """")"),"")</f>
        <v/>
      </c>
      <c r="C106" s="10"/>
    </row>
    <row r="107" ht="15.75" customHeight="1">
      <c r="A107" s="12"/>
      <c r="B107" s="9" t="str">
        <f>IFERROR(__xludf.DUMMYFUNCTION("IF(A107&lt;&gt;"""", 
   IF(COUNTA(SPLIT(TRIM(A107), "" ""))=1, 
      LOWER(TRIM(A107)) &amp; ""@zupee.in"", 
      LOWER(INDEX(SPLIT(TRIM(A107), "" ""), 1)) &amp; ""."" &amp; LOWER(INDEX(SPLIT(TRIM(A107), "" ""), COUNTA(SPLIT(TRIM(A107), "" "")))) &amp; ""@zupee.in""
   ), 
"&amp;"   """")"),"")</f>
        <v/>
      </c>
      <c r="C107" s="10"/>
    </row>
    <row r="108" ht="15.75" customHeight="1">
      <c r="A108" s="12"/>
      <c r="B108" s="9" t="str">
        <f>IFERROR(__xludf.DUMMYFUNCTION("IF(A108&lt;&gt;"""", 
   IF(COUNTA(SPLIT(TRIM(A108), "" ""))=1, 
      LOWER(TRIM(A108)) &amp; ""@zupee.in"", 
      LOWER(INDEX(SPLIT(TRIM(A108), "" ""), 1)) &amp; ""."" &amp; LOWER(INDEX(SPLIT(TRIM(A108), "" ""), COUNTA(SPLIT(TRIM(A108), "" "")))) &amp; ""@zupee.in""
   ), 
"&amp;"   """")"),"")</f>
        <v/>
      </c>
      <c r="C108" s="10"/>
    </row>
    <row r="109" ht="15.75" customHeight="1">
      <c r="A109" s="12"/>
      <c r="B109" s="9" t="str">
        <f>IFERROR(__xludf.DUMMYFUNCTION("IF(A109&lt;&gt;"""", 
   IF(COUNTA(SPLIT(TRIM(A109), "" ""))=1, 
      LOWER(TRIM(A109)) &amp; ""@zupee.in"", 
      LOWER(INDEX(SPLIT(TRIM(A109), "" ""), 1)) &amp; ""."" &amp; LOWER(INDEX(SPLIT(TRIM(A109), "" ""), COUNTA(SPLIT(TRIM(A109), "" "")))) &amp; ""@zupee.in""
   ), 
"&amp;"   """")"),"")</f>
        <v/>
      </c>
      <c r="C109" s="10"/>
    </row>
    <row r="110" ht="15.75" customHeight="1">
      <c r="A110" s="12"/>
      <c r="B110" s="9" t="str">
        <f>IFERROR(__xludf.DUMMYFUNCTION("IF(A110&lt;&gt;"""", 
   IF(COUNTA(SPLIT(TRIM(A110), "" ""))=1, 
      LOWER(TRIM(A110)) &amp; ""@zupee.in"", 
      LOWER(INDEX(SPLIT(TRIM(A110), "" ""), 1)) &amp; ""."" &amp; LOWER(INDEX(SPLIT(TRIM(A110), "" ""), COUNTA(SPLIT(TRIM(A110), "" "")))) &amp; ""@zupee.in""
   ), 
"&amp;"   """")"),"")</f>
        <v/>
      </c>
      <c r="C110" s="10"/>
    </row>
    <row r="111" ht="15.75" customHeight="1">
      <c r="A111" s="12"/>
      <c r="B111" s="9" t="str">
        <f>IFERROR(__xludf.DUMMYFUNCTION("IF(A111&lt;&gt;"""", 
   IF(COUNTA(SPLIT(TRIM(A111), "" ""))=1, 
      LOWER(TRIM(A111)) &amp; ""@zupee.in"", 
      LOWER(INDEX(SPLIT(TRIM(A111), "" ""), 1)) &amp; ""."" &amp; LOWER(INDEX(SPLIT(TRIM(A111), "" ""), COUNTA(SPLIT(TRIM(A111), "" "")))) &amp; ""@zupee.in""
   ), 
"&amp;"   """")"),"")</f>
        <v/>
      </c>
      <c r="C111" s="10"/>
    </row>
    <row r="112" ht="15.75" customHeight="1">
      <c r="A112" s="12"/>
      <c r="B112" s="9" t="str">
        <f>IFERROR(__xludf.DUMMYFUNCTION("IF(A112&lt;&gt;"""", 
   IF(COUNTA(SPLIT(TRIM(A112), "" ""))=1, 
      LOWER(TRIM(A112)) &amp; ""@zupee.in"", 
      LOWER(INDEX(SPLIT(TRIM(A112), "" ""), 1)) &amp; ""."" &amp; LOWER(INDEX(SPLIT(TRIM(A112), "" ""), COUNTA(SPLIT(TRIM(A112), "" "")))) &amp; ""@zupee.in""
   ), 
"&amp;"   """")"),"")</f>
        <v/>
      </c>
      <c r="C112" s="10"/>
    </row>
    <row r="113" ht="15.75" customHeight="1">
      <c r="A113" s="12"/>
      <c r="B113" s="9" t="str">
        <f>IFERROR(__xludf.DUMMYFUNCTION("IF(A113&lt;&gt;"""", 
   IF(COUNTA(SPLIT(TRIM(A113), "" ""))=1, 
      LOWER(TRIM(A113)) &amp; ""@zupee.in"", 
      LOWER(INDEX(SPLIT(TRIM(A113), "" ""), 1)) &amp; ""."" &amp; LOWER(INDEX(SPLIT(TRIM(A113), "" ""), COUNTA(SPLIT(TRIM(A113), "" "")))) &amp; ""@zupee.in""
   ), 
"&amp;"   """")"),"")</f>
        <v/>
      </c>
      <c r="C113" s="10"/>
    </row>
    <row r="114" ht="15.75" customHeight="1">
      <c r="A114" s="12"/>
      <c r="B114" s="9" t="str">
        <f>IFERROR(__xludf.DUMMYFUNCTION("IF(A114&lt;&gt;"""", 
   IF(COUNTA(SPLIT(TRIM(A114), "" ""))=1, 
      LOWER(TRIM(A114)) &amp; ""@zupee.in"", 
      LOWER(INDEX(SPLIT(TRIM(A114), "" ""), 1)) &amp; ""."" &amp; LOWER(INDEX(SPLIT(TRIM(A114), "" ""), COUNTA(SPLIT(TRIM(A114), "" "")))) &amp; ""@zupee.in""
   ), 
"&amp;"   """")"),"")</f>
        <v/>
      </c>
      <c r="C114" s="10"/>
    </row>
    <row r="115" ht="15.75" customHeight="1">
      <c r="A115" s="12"/>
      <c r="B115" s="9" t="str">
        <f>IFERROR(__xludf.DUMMYFUNCTION("IF(A115&lt;&gt;"""", 
   IF(COUNTA(SPLIT(TRIM(A115), "" ""))=1, 
      LOWER(TRIM(A115)) &amp; ""@zupee.in"", 
      LOWER(INDEX(SPLIT(TRIM(A115), "" ""), 1)) &amp; ""."" &amp; LOWER(INDEX(SPLIT(TRIM(A115), "" ""), COUNTA(SPLIT(TRIM(A115), "" "")))) &amp; ""@zupee.in""
   ), 
"&amp;"   """")"),"")</f>
        <v/>
      </c>
      <c r="C115" s="10"/>
    </row>
    <row r="116" ht="15.75" customHeight="1">
      <c r="A116" s="12"/>
      <c r="B116" s="9" t="str">
        <f>IFERROR(__xludf.DUMMYFUNCTION("IF(A116&lt;&gt;"""", 
   IF(COUNTA(SPLIT(TRIM(A116), "" ""))=1, 
      LOWER(TRIM(A116)) &amp; ""@zupee.in"", 
      LOWER(INDEX(SPLIT(TRIM(A116), "" ""), 1)) &amp; ""."" &amp; LOWER(INDEX(SPLIT(TRIM(A116), "" ""), COUNTA(SPLIT(TRIM(A116), "" "")))) &amp; ""@zupee.in""
   ), 
"&amp;"   """")"),"")</f>
        <v/>
      </c>
      <c r="C116" s="10"/>
    </row>
    <row r="117" ht="15.75" customHeight="1">
      <c r="A117" s="12"/>
      <c r="B117" s="9" t="str">
        <f>IFERROR(__xludf.DUMMYFUNCTION("IF(A117&lt;&gt;"""", 
   IF(COUNTA(SPLIT(TRIM(A117), "" ""))=1, 
      LOWER(TRIM(A117)) &amp; ""@zupee.in"", 
      LOWER(INDEX(SPLIT(TRIM(A117), "" ""), 1)) &amp; ""."" &amp; LOWER(INDEX(SPLIT(TRIM(A117), "" ""), COUNTA(SPLIT(TRIM(A117), "" "")))) &amp; ""@zupee.in""
   ), 
"&amp;"   """")"),"")</f>
        <v/>
      </c>
      <c r="C117" s="10"/>
    </row>
    <row r="118" ht="15.75" customHeight="1">
      <c r="A118" s="12"/>
      <c r="B118" s="9" t="str">
        <f>IFERROR(__xludf.DUMMYFUNCTION("IF(A118&lt;&gt;"""", 
   IF(COUNTA(SPLIT(TRIM(A118), "" ""))=1, 
      LOWER(TRIM(A118)) &amp; ""@zupee.in"", 
      LOWER(INDEX(SPLIT(TRIM(A118), "" ""), 1)) &amp; ""."" &amp; LOWER(INDEX(SPLIT(TRIM(A118), "" ""), COUNTA(SPLIT(TRIM(A118), "" "")))) &amp; ""@zupee.in""
   ), 
"&amp;"   """")"),"")</f>
        <v/>
      </c>
      <c r="C118" s="10"/>
    </row>
    <row r="119" ht="15.75" customHeight="1">
      <c r="A119" s="12"/>
      <c r="B119" s="9" t="str">
        <f>IFERROR(__xludf.DUMMYFUNCTION("IF(A119&lt;&gt;"""", 
   IF(COUNTA(SPLIT(TRIM(A119), "" ""))=1, 
      LOWER(TRIM(A119)) &amp; ""@zupee.in"", 
      LOWER(INDEX(SPLIT(TRIM(A119), "" ""), 1)) &amp; ""."" &amp; LOWER(INDEX(SPLIT(TRIM(A119), "" ""), COUNTA(SPLIT(TRIM(A119), "" "")))) &amp; ""@zupee.in""
   ), 
"&amp;"   """")"),"")</f>
        <v/>
      </c>
      <c r="C119" s="10"/>
    </row>
    <row r="120" ht="15.75" customHeight="1">
      <c r="A120" s="12"/>
      <c r="B120" s="9" t="str">
        <f>IFERROR(__xludf.DUMMYFUNCTION("IF(A120&lt;&gt;"""", 
   IF(COUNTA(SPLIT(TRIM(A120), "" ""))=1, 
      LOWER(TRIM(A120)) &amp; ""@zupee.in"", 
      LOWER(INDEX(SPLIT(TRIM(A120), "" ""), 1)) &amp; ""."" &amp; LOWER(INDEX(SPLIT(TRIM(A120), "" ""), COUNTA(SPLIT(TRIM(A120), "" "")))) &amp; ""@zupee.in""
   ), 
"&amp;"   """")"),"")</f>
        <v/>
      </c>
      <c r="C120" s="10"/>
    </row>
    <row r="121" ht="15.75" customHeight="1">
      <c r="A121" s="12"/>
      <c r="B121" s="9" t="str">
        <f>IFERROR(__xludf.DUMMYFUNCTION("IF(A121&lt;&gt;"""", 
   IF(COUNTA(SPLIT(TRIM(A121), "" ""))=1, 
      LOWER(TRIM(A121)) &amp; ""@zupee.in"", 
      LOWER(INDEX(SPLIT(TRIM(A121), "" ""), 1)) &amp; ""."" &amp; LOWER(INDEX(SPLIT(TRIM(A121), "" ""), COUNTA(SPLIT(TRIM(A121), "" "")))) &amp; ""@zupee.in""
   ), 
"&amp;"   """")"),"")</f>
        <v/>
      </c>
      <c r="C121" s="10"/>
    </row>
    <row r="122" ht="15.75" customHeight="1">
      <c r="A122" s="12"/>
      <c r="B122" s="9" t="str">
        <f>IFERROR(__xludf.DUMMYFUNCTION("IF(A122&lt;&gt;"""", 
   IF(COUNTA(SPLIT(TRIM(A122), "" ""))=1, 
      LOWER(TRIM(A122)) &amp; ""@zupee.in"", 
      LOWER(INDEX(SPLIT(TRIM(A122), "" ""), 1)) &amp; ""."" &amp; LOWER(INDEX(SPLIT(TRIM(A122), "" ""), COUNTA(SPLIT(TRIM(A122), "" "")))) &amp; ""@zupee.in""
   ), 
"&amp;"   """")"),"")</f>
        <v/>
      </c>
      <c r="C122" s="10"/>
    </row>
    <row r="123" ht="15.75" customHeight="1">
      <c r="A123" s="12"/>
      <c r="B123" s="9" t="str">
        <f>IFERROR(__xludf.DUMMYFUNCTION("IF(A123&lt;&gt;"""", 
   IF(COUNTA(SPLIT(TRIM(A123), "" ""))=1, 
      LOWER(TRIM(A123)) &amp; ""@zupee.in"", 
      LOWER(INDEX(SPLIT(TRIM(A123), "" ""), 1)) &amp; ""."" &amp; LOWER(INDEX(SPLIT(TRIM(A123), "" ""), COUNTA(SPLIT(TRIM(A123), "" "")))) &amp; ""@zupee.in""
   ), 
"&amp;"   """")"),"")</f>
        <v/>
      </c>
      <c r="C123" s="10"/>
    </row>
    <row r="124" ht="15.75" customHeight="1">
      <c r="A124" s="12"/>
      <c r="B124" s="9" t="str">
        <f>IFERROR(__xludf.DUMMYFUNCTION("IF(A124&lt;&gt;"""", 
   IF(COUNTA(SPLIT(TRIM(A124), "" ""))=1, 
      LOWER(TRIM(A124)) &amp; ""@zupee.in"", 
      LOWER(INDEX(SPLIT(TRIM(A124), "" ""), 1)) &amp; ""."" &amp; LOWER(INDEX(SPLIT(TRIM(A124), "" ""), COUNTA(SPLIT(TRIM(A124), "" "")))) &amp; ""@zupee.in""
   ), 
"&amp;"   """")"),"")</f>
        <v/>
      </c>
      <c r="C124" s="10"/>
    </row>
    <row r="125" ht="15.75" customHeight="1">
      <c r="A125" s="12"/>
      <c r="B125" s="9" t="str">
        <f>IFERROR(__xludf.DUMMYFUNCTION("IF(A125&lt;&gt;"""", 
   IF(COUNTA(SPLIT(TRIM(A125), "" ""))=1, 
      LOWER(TRIM(A125)) &amp; ""@zupee.in"", 
      LOWER(INDEX(SPLIT(TRIM(A125), "" ""), 1)) &amp; ""."" &amp; LOWER(INDEX(SPLIT(TRIM(A125), "" ""), COUNTA(SPLIT(TRIM(A125), "" "")))) &amp; ""@zupee.in""
   ), 
"&amp;"   """")"),"")</f>
        <v/>
      </c>
      <c r="C125" s="10"/>
    </row>
    <row r="126" ht="15.75" customHeight="1">
      <c r="A126" s="12"/>
      <c r="B126" s="9" t="str">
        <f>IFERROR(__xludf.DUMMYFUNCTION("IF(A126&lt;&gt;"""", 
   IF(COUNTA(SPLIT(TRIM(A126), "" ""))=1, 
      LOWER(TRIM(A126)) &amp; ""@zupee.in"", 
      LOWER(INDEX(SPLIT(TRIM(A126), "" ""), 1)) &amp; ""."" &amp; LOWER(INDEX(SPLIT(TRIM(A126), "" ""), COUNTA(SPLIT(TRIM(A126), "" "")))) &amp; ""@zupee.in""
   ), 
"&amp;"   """")"),"")</f>
        <v/>
      </c>
      <c r="C126" s="10"/>
    </row>
    <row r="127" ht="15.75" customHeight="1">
      <c r="A127" s="12"/>
      <c r="B127" s="9" t="str">
        <f>IFERROR(__xludf.DUMMYFUNCTION("IF(A127&lt;&gt;"""", 
   IF(COUNTA(SPLIT(TRIM(A127), "" ""))=1, 
      LOWER(TRIM(A127)) &amp; ""@zupee.in"", 
      LOWER(INDEX(SPLIT(TRIM(A127), "" ""), 1)) &amp; ""."" &amp; LOWER(INDEX(SPLIT(TRIM(A127), "" ""), COUNTA(SPLIT(TRIM(A127), "" "")))) &amp; ""@zupee.in""
   ), 
"&amp;"   """")"),"")</f>
        <v/>
      </c>
      <c r="C127" s="10"/>
    </row>
    <row r="128" ht="15.75" customHeight="1">
      <c r="A128" s="12"/>
      <c r="B128" s="9" t="str">
        <f>IFERROR(__xludf.DUMMYFUNCTION("IF(A128&lt;&gt;"""", 
   IF(COUNTA(SPLIT(TRIM(A128), "" ""))=1, 
      LOWER(TRIM(A128)) &amp; ""@zupee.in"", 
      LOWER(INDEX(SPLIT(TRIM(A128), "" ""), 1)) &amp; ""."" &amp; LOWER(INDEX(SPLIT(TRIM(A128), "" ""), COUNTA(SPLIT(TRIM(A128), "" "")))) &amp; ""@zupee.in""
   ), 
"&amp;"   """")"),"")</f>
        <v/>
      </c>
      <c r="C128" s="10"/>
    </row>
    <row r="129" ht="15.75" customHeight="1">
      <c r="A129" s="12"/>
      <c r="B129" s="9" t="str">
        <f>IFERROR(__xludf.DUMMYFUNCTION("IF(A129&lt;&gt;"""", 
   IF(COUNTA(SPLIT(TRIM(A129), "" ""))=1, 
      LOWER(TRIM(A129)) &amp; ""@zupee.in"", 
      LOWER(INDEX(SPLIT(TRIM(A129), "" ""), 1)) &amp; ""."" &amp; LOWER(INDEX(SPLIT(TRIM(A129), "" ""), COUNTA(SPLIT(TRIM(A129), "" "")))) &amp; ""@zupee.in""
   ), 
"&amp;"   """")"),"")</f>
        <v/>
      </c>
      <c r="C129" s="10"/>
    </row>
    <row r="130" ht="15.75" customHeight="1">
      <c r="A130" s="12"/>
      <c r="B130" s="9" t="str">
        <f>IFERROR(__xludf.DUMMYFUNCTION("IF(A130&lt;&gt;"""", 
   IF(COUNTA(SPLIT(TRIM(A130), "" ""))=1, 
      LOWER(TRIM(A130)) &amp; ""@zupee.in"", 
      LOWER(INDEX(SPLIT(TRIM(A130), "" ""), 1)) &amp; ""."" &amp; LOWER(INDEX(SPLIT(TRIM(A130), "" ""), COUNTA(SPLIT(TRIM(A130), "" "")))) &amp; ""@zupee.in""
   ), 
"&amp;"   """")"),"")</f>
        <v/>
      </c>
      <c r="C130" s="10"/>
    </row>
    <row r="131" ht="15.75" customHeight="1">
      <c r="A131" s="12"/>
      <c r="B131" s="9" t="str">
        <f>IFERROR(__xludf.DUMMYFUNCTION("IF(A131&lt;&gt;"""", 
   IF(COUNTA(SPLIT(TRIM(A131), "" ""))=1, 
      LOWER(TRIM(A131)) &amp; ""@zupee.in"", 
      LOWER(INDEX(SPLIT(TRIM(A131), "" ""), 1)) &amp; ""."" &amp; LOWER(INDEX(SPLIT(TRIM(A131), "" ""), COUNTA(SPLIT(TRIM(A131), "" "")))) &amp; ""@zupee.in""
   ), 
"&amp;"   """")"),"")</f>
        <v/>
      </c>
      <c r="C131" s="10"/>
    </row>
    <row r="132" ht="15.75" customHeight="1">
      <c r="A132" s="12"/>
      <c r="B132" s="9" t="str">
        <f>IFERROR(__xludf.DUMMYFUNCTION("IF(A132&lt;&gt;"""", 
   IF(COUNTA(SPLIT(TRIM(A132), "" ""))=1, 
      LOWER(TRIM(A132)) &amp; ""@zupee.in"", 
      LOWER(INDEX(SPLIT(TRIM(A132), "" ""), 1)) &amp; ""."" &amp; LOWER(INDEX(SPLIT(TRIM(A132), "" ""), COUNTA(SPLIT(TRIM(A132), "" "")))) &amp; ""@zupee.in""
   ), 
"&amp;"   """")"),"")</f>
        <v/>
      </c>
      <c r="C132" s="10"/>
    </row>
    <row r="133" ht="15.75" customHeight="1">
      <c r="A133" s="12"/>
      <c r="B133" s="9" t="str">
        <f>IFERROR(__xludf.DUMMYFUNCTION("IF(A133&lt;&gt;"""", 
   IF(COUNTA(SPLIT(TRIM(A133), "" ""))=1, 
      LOWER(TRIM(A133)) &amp; ""@zupee.in"", 
      LOWER(INDEX(SPLIT(TRIM(A133), "" ""), 1)) &amp; ""."" &amp; LOWER(INDEX(SPLIT(TRIM(A133), "" ""), COUNTA(SPLIT(TRIM(A133), "" "")))) &amp; ""@zupee.in""
   ), 
"&amp;"   """")"),"")</f>
        <v/>
      </c>
      <c r="C133" s="10"/>
    </row>
    <row r="134" ht="15.75" customHeight="1">
      <c r="A134" s="12"/>
      <c r="B134" s="9" t="str">
        <f>IFERROR(__xludf.DUMMYFUNCTION("IF(A134&lt;&gt;"""", 
   IF(COUNTA(SPLIT(TRIM(A134), "" ""))=1, 
      LOWER(TRIM(A134)) &amp; ""@zupee.in"", 
      LOWER(INDEX(SPLIT(TRIM(A134), "" ""), 1)) &amp; ""."" &amp; LOWER(INDEX(SPLIT(TRIM(A134), "" ""), COUNTA(SPLIT(TRIM(A134), "" "")))) &amp; ""@zupee.in""
   ), 
"&amp;"   """")"),"")</f>
        <v/>
      </c>
      <c r="C134" s="10"/>
    </row>
    <row r="135" ht="15.75" customHeight="1">
      <c r="A135" s="12"/>
      <c r="B135" s="9" t="str">
        <f>IFERROR(__xludf.DUMMYFUNCTION("IF(A135&lt;&gt;"""", 
   IF(COUNTA(SPLIT(TRIM(A135), "" ""))=1, 
      LOWER(TRIM(A135)) &amp; ""@zupee.in"", 
      LOWER(INDEX(SPLIT(TRIM(A135), "" ""), 1)) &amp; ""."" &amp; LOWER(INDEX(SPLIT(TRIM(A135), "" ""), COUNTA(SPLIT(TRIM(A135), "" "")))) &amp; ""@zupee.in""
   ), 
"&amp;"   """")"),"")</f>
        <v/>
      </c>
      <c r="C135" s="10"/>
    </row>
    <row r="136" ht="15.75" customHeight="1">
      <c r="A136" s="12"/>
      <c r="B136" s="9" t="str">
        <f>IFERROR(__xludf.DUMMYFUNCTION("IF(A136&lt;&gt;"""", 
   IF(COUNTA(SPLIT(TRIM(A136), "" ""))=1, 
      LOWER(TRIM(A136)) &amp; ""@zupee.in"", 
      LOWER(INDEX(SPLIT(TRIM(A136), "" ""), 1)) &amp; ""."" &amp; LOWER(INDEX(SPLIT(TRIM(A136), "" ""), COUNTA(SPLIT(TRIM(A136), "" "")))) &amp; ""@zupee.in""
   ), 
"&amp;"   """")"),"")</f>
        <v/>
      </c>
      <c r="C136" s="10"/>
    </row>
    <row r="137" ht="15.75" customHeight="1">
      <c r="A137" s="12"/>
      <c r="B137" s="9" t="str">
        <f>IFERROR(__xludf.DUMMYFUNCTION("IF(A137&lt;&gt;"""", 
   IF(COUNTA(SPLIT(TRIM(A137), "" ""))=1, 
      LOWER(TRIM(A137)) &amp; ""@zupee.in"", 
      LOWER(INDEX(SPLIT(TRIM(A137), "" ""), 1)) &amp; ""."" &amp; LOWER(INDEX(SPLIT(TRIM(A137), "" ""), COUNTA(SPLIT(TRIM(A137), "" "")))) &amp; ""@zupee.in""
   ), 
"&amp;"   """")"),"")</f>
        <v/>
      </c>
      <c r="C137" s="10"/>
    </row>
    <row r="138" ht="15.75" customHeight="1">
      <c r="A138" s="12"/>
      <c r="B138" s="9" t="str">
        <f>IFERROR(__xludf.DUMMYFUNCTION("IF(A138&lt;&gt;"""", 
   IF(COUNTA(SPLIT(TRIM(A138), "" ""))=1, 
      LOWER(TRIM(A138)) &amp; ""@zupee.in"", 
      LOWER(INDEX(SPLIT(TRIM(A138), "" ""), 1)) &amp; ""."" &amp; LOWER(INDEX(SPLIT(TRIM(A138), "" ""), COUNTA(SPLIT(TRIM(A138), "" "")))) &amp; ""@zupee.in""
   ), 
"&amp;"   """")"),"")</f>
        <v/>
      </c>
      <c r="C138" s="10"/>
    </row>
    <row r="139" ht="15.75" customHeight="1">
      <c r="A139" s="12"/>
      <c r="B139" s="9" t="str">
        <f>IFERROR(__xludf.DUMMYFUNCTION("IF(A139&lt;&gt;"""", 
   IF(COUNTA(SPLIT(TRIM(A139), "" ""))=1, 
      LOWER(TRIM(A139)) &amp; ""@zupee.in"", 
      LOWER(INDEX(SPLIT(TRIM(A139), "" ""), 1)) &amp; ""."" &amp; LOWER(INDEX(SPLIT(TRIM(A139), "" ""), COUNTA(SPLIT(TRIM(A139), "" "")))) &amp; ""@zupee.in""
   ), 
"&amp;"   """")"),"")</f>
        <v/>
      </c>
      <c r="C139" s="10"/>
    </row>
    <row r="140" ht="15.75" customHeight="1">
      <c r="A140" s="12"/>
      <c r="B140" s="9" t="str">
        <f>IFERROR(__xludf.DUMMYFUNCTION("IF(A140&lt;&gt;"""", 
   IF(COUNTA(SPLIT(TRIM(A140), "" ""))=1, 
      LOWER(TRIM(A140)) &amp; ""@zupee.in"", 
      LOWER(INDEX(SPLIT(TRIM(A140), "" ""), 1)) &amp; ""."" &amp; LOWER(INDEX(SPLIT(TRIM(A140), "" ""), COUNTA(SPLIT(TRIM(A140), "" "")))) &amp; ""@zupee.in""
   ), 
"&amp;"   """")"),"")</f>
        <v/>
      </c>
      <c r="C140" s="10"/>
    </row>
    <row r="141" ht="15.75" customHeight="1">
      <c r="A141" s="12"/>
      <c r="B141" s="9" t="str">
        <f>IFERROR(__xludf.DUMMYFUNCTION("IF(A141&lt;&gt;"""", 
   IF(COUNTA(SPLIT(TRIM(A141), "" ""))=1, 
      LOWER(TRIM(A141)) &amp; ""@zupee.in"", 
      LOWER(INDEX(SPLIT(TRIM(A141), "" ""), 1)) &amp; ""."" &amp; LOWER(INDEX(SPLIT(TRIM(A141), "" ""), COUNTA(SPLIT(TRIM(A141), "" "")))) &amp; ""@zupee.in""
   ), 
"&amp;"   """")"),"")</f>
        <v/>
      </c>
      <c r="C141" s="10"/>
    </row>
    <row r="142" ht="15.75" customHeight="1">
      <c r="A142" s="12"/>
      <c r="B142" s="9" t="str">
        <f>IFERROR(__xludf.DUMMYFUNCTION("IF(A142&lt;&gt;"""", 
   IF(COUNTA(SPLIT(TRIM(A142), "" ""))=1, 
      LOWER(TRIM(A142)) &amp; ""@zupee.in"", 
      LOWER(INDEX(SPLIT(TRIM(A142), "" ""), 1)) &amp; ""."" &amp; LOWER(INDEX(SPLIT(TRIM(A142), "" ""), COUNTA(SPLIT(TRIM(A142), "" "")))) &amp; ""@zupee.in""
   ), 
"&amp;"   """")"),"")</f>
        <v/>
      </c>
      <c r="C142" s="10"/>
    </row>
    <row r="143" ht="15.75" customHeight="1">
      <c r="A143" s="12"/>
      <c r="B143" s="9" t="str">
        <f>IFERROR(__xludf.DUMMYFUNCTION("IF(A143&lt;&gt;"""", 
   IF(COUNTA(SPLIT(TRIM(A143), "" ""))=1, 
      LOWER(TRIM(A143)) &amp; ""@zupee.in"", 
      LOWER(INDEX(SPLIT(TRIM(A143), "" ""), 1)) &amp; ""."" &amp; LOWER(INDEX(SPLIT(TRIM(A143), "" ""), COUNTA(SPLIT(TRIM(A143), "" "")))) &amp; ""@zupee.in""
   ), 
"&amp;"   """")"),"")</f>
        <v/>
      </c>
      <c r="C143" s="10"/>
    </row>
    <row r="144" ht="15.75" customHeight="1">
      <c r="A144" s="12"/>
      <c r="B144" s="9" t="str">
        <f>IFERROR(__xludf.DUMMYFUNCTION("IF(A144&lt;&gt;"""", 
   IF(COUNTA(SPLIT(TRIM(A144), "" ""))=1, 
      LOWER(TRIM(A144)) &amp; ""@zupee.in"", 
      LOWER(INDEX(SPLIT(TRIM(A144), "" ""), 1)) &amp; ""."" &amp; LOWER(INDEX(SPLIT(TRIM(A144), "" ""), COUNTA(SPLIT(TRIM(A144), "" "")))) &amp; ""@zupee.in""
   ), 
"&amp;"   """")"),"")</f>
        <v/>
      </c>
      <c r="C144" s="10"/>
    </row>
    <row r="145" ht="15.75" customHeight="1">
      <c r="A145" s="12"/>
      <c r="B145" s="9" t="str">
        <f>IFERROR(__xludf.DUMMYFUNCTION("IF(A145&lt;&gt;"""", 
   IF(COUNTA(SPLIT(TRIM(A145), "" ""))=1, 
      LOWER(TRIM(A145)) &amp; ""@zupee.in"", 
      LOWER(INDEX(SPLIT(TRIM(A145), "" ""), 1)) &amp; ""."" &amp; LOWER(INDEX(SPLIT(TRIM(A145), "" ""), COUNTA(SPLIT(TRIM(A145), "" "")))) &amp; ""@zupee.in""
   ), 
"&amp;"   """")"),"")</f>
        <v/>
      </c>
      <c r="C145" s="10"/>
    </row>
    <row r="146" ht="15.75" customHeight="1">
      <c r="A146" s="12"/>
      <c r="B146" s="9" t="str">
        <f>IFERROR(__xludf.DUMMYFUNCTION("IF(A146&lt;&gt;"""", 
   IF(COUNTA(SPLIT(TRIM(A146), "" ""))=1, 
      LOWER(TRIM(A146)) &amp; ""@zupee.in"", 
      LOWER(INDEX(SPLIT(TRIM(A146), "" ""), 1)) &amp; ""."" &amp; LOWER(INDEX(SPLIT(TRIM(A146), "" ""), COUNTA(SPLIT(TRIM(A146), "" "")))) &amp; ""@zupee.in""
   ), 
"&amp;"   """")"),"")</f>
        <v/>
      </c>
      <c r="C146" s="10"/>
    </row>
    <row r="147" ht="15.75" customHeight="1">
      <c r="A147" s="12"/>
      <c r="B147" s="9" t="str">
        <f>IFERROR(__xludf.DUMMYFUNCTION("IF(A147&lt;&gt;"""", 
   IF(COUNTA(SPLIT(TRIM(A147), "" ""))=1, 
      LOWER(TRIM(A147)) &amp; ""@zupee.in"", 
      LOWER(INDEX(SPLIT(TRIM(A147), "" ""), 1)) &amp; ""."" &amp; LOWER(INDEX(SPLIT(TRIM(A147), "" ""), COUNTA(SPLIT(TRIM(A147), "" "")))) &amp; ""@zupee.in""
   ), 
"&amp;"   """")"),"")</f>
        <v/>
      </c>
      <c r="C147" s="10"/>
    </row>
    <row r="148" ht="15.75" customHeight="1">
      <c r="A148" s="12"/>
      <c r="B148" s="9" t="str">
        <f>IFERROR(__xludf.DUMMYFUNCTION("IF(A148&lt;&gt;"""", 
   IF(COUNTA(SPLIT(TRIM(A148), "" ""))=1, 
      LOWER(TRIM(A148)) &amp; ""@zupee.in"", 
      LOWER(INDEX(SPLIT(TRIM(A148), "" ""), 1)) &amp; ""."" &amp; LOWER(INDEX(SPLIT(TRIM(A148), "" ""), COUNTA(SPLIT(TRIM(A148), "" "")))) &amp; ""@zupee.in""
   ), 
"&amp;"   """")"),"")</f>
        <v/>
      </c>
      <c r="C148" s="10"/>
    </row>
    <row r="149" ht="15.75" customHeight="1">
      <c r="A149" s="12"/>
      <c r="B149" s="9" t="str">
        <f>IFERROR(__xludf.DUMMYFUNCTION("IF(A149&lt;&gt;"""", 
   IF(COUNTA(SPLIT(TRIM(A149), "" ""))=1, 
      LOWER(TRIM(A149)) &amp; ""@zupee.in"", 
      LOWER(INDEX(SPLIT(TRIM(A149), "" ""), 1)) &amp; ""."" &amp; LOWER(INDEX(SPLIT(TRIM(A149), "" ""), COUNTA(SPLIT(TRIM(A149), "" "")))) &amp; ""@zupee.in""
   ), 
"&amp;"   """")"),"")</f>
        <v/>
      </c>
      <c r="C149" s="10"/>
    </row>
    <row r="150" ht="15.75" customHeight="1">
      <c r="A150" s="12"/>
      <c r="B150" s="9" t="str">
        <f>IFERROR(__xludf.DUMMYFUNCTION("IF(A150&lt;&gt;"""", 
   IF(COUNTA(SPLIT(TRIM(A150), "" ""))=1, 
      LOWER(TRIM(A150)) &amp; ""@zupee.in"", 
      LOWER(INDEX(SPLIT(TRIM(A150), "" ""), 1)) &amp; ""."" &amp; LOWER(INDEX(SPLIT(TRIM(A150), "" ""), COUNTA(SPLIT(TRIM(A150), "" "")))) &amp; ""@zupee.in""
   ), 
"&amp;"   """")"),"")</f>
        <v/>
      </c>
      <c r="C150" s="10"/>
    </row>
    <row r="151" ht="15.75" customHeight="1">
      <c r="A151" s="12"/>
      <c r="B151" s="9" t="str">
        <f>IFERROR(__xludf.DUMMYFUNCTION("IF(A151&lt;&gt;"""", 
   IF(COUNTA(SPLIT(TRIM(A151), "" ""))=1, 
      LOWER(TRIM(A151)) &amp; ""@zupee.in"", 
      LOWER(INDEX(SPLIT(TRIM(A151), "" ""), 1)) &amp; ""."" &amp; LOWER(INDEX(SPLIT(TRIM(A151), "" ""), COUNTA(SPLIT(TRIM(A151), "" "")))) &amp; ""@zupee.in""
   ), 
"&amp;"   """")"),"")</f>
        <v/>
      </c>
      <c r="C151" s="10"/>
    </row>
    <row r="152" ht="15.75" customHeight="1">
      <c r="A152" s="12"/>
      <c r="B152" s="9" t="str">
        <f>IFERROR(__xludf.DUMMYFUNCTION("IF(A152&lt;&gt;"""", 
   IF(COUNTA(SPLIT(TRIM(A152), "" ""))=1, 
      LOWER(TRIM(A152)) &amp; ""@zupee.in"", 
      LOWER(INDEX(SPLIT(TRIM(A152), "" ""), 1)) &amp; ""."" &amp; LOWER(INDEX(SPLIT(TRIM(A152), "" ""), COUNTA(SPLIT(TRIM(A152), "" "")))) &amp; ""@zupee.in""
   ), 
"&amp;"   """")"),"")</f>
        <v/>
      </c>
      <c r="C152" s="10"/>
    </row>
    <row r="153" ht="15.75" customHeight="1">
      <c r="A153" s="12"/>
      <c r="B153" s="9" t="str">
        <f>IFERROR(__xludf.DUMMYFUNCTION("IF(A153&lt;&gt;"""", 
   IF(COUNTA(SPLIT(TRIM(A153), "" ""))=1, 
      LOWER(TRIM(A153)) &amp; ""@zupee.in"", 
      LOWER(INDEX(SPLIT(TRIM(A153), "" ""), 1)) &amp; ""."" &amp; LOWER(INDEX(SPLIT(TRIM(A153), "" ""), COUNTA(SPLIT(TRIM(A153), "" "")))) &amp; ""@zupee.in""
   ), 
"&amp;"   """")"),"")</f>
        <v/>
      </c>
      <c r="C153" s="10"/>
    </row>
    <row r="154" ht="15.75" customHeight="1">
      <c r="A154" s="12"/>
      <c r="B154" s="9" t="str">
        <f>IFERROR(__xludf.DUMMYFUNCTION("IF(A154&lt;&gt;"""", 
   IF(COUNTA(SPLIT(TRIM(A154), "" ""))=1, 
      LOWER(TRIM(A154)) &amp; ""@zupee.in"", 
      LOWER(INDEX(SPLIT(TRIM(A154), "" ""), 1)) &amp; ""."" &amp; LOWER(INDEX(SPLIT(TRIM(A154), "" ""), COUNTA(SPLIT(TRIM(A154), "" "")))) &amp; ""@zupee.in""
   ), 
"&amp;"   """")"),"")</f>
        <v/>
      </c>
      <c r="C154" s="10"/>
    </row>
    <row r="155" ht="15.75" customHeight="1">
      <c r="A155" s="12"/>
      <c r="B155" s="9" t="str">
        <f>IFERROR(__xludf.DUMMYFUNCTION("IF(A155&lt;&gt;"""", 
   IF(COUNTA(SPLIT(TRIM(A155), "" ""))=1, 
      LOWER(TRIM(A155)) &amp; ""@zupee.in"", 
      LOWER(INDEX(SPLIT(TRIM(A155), "" ""), 1)) &amp; ""."" &amp; LOWER(INDEX(SPLIT(TRIM(A155), "" ""), COUNTA(SPLIT(TRIM(A155), "" "")))) &amp; ""@zupee.in""
   ), 
"&amp;"   """")"),"")</f>
        <v/>
      </c>
      <c r="C155" s="10"/>
    </row>
    <row r="156" ht="15.75" customHeight="1">
      <c r="A156" s="12"/>
      <c r="B156" s="9" t="str">
        <f>IFERROR(__xludf.DUMMYFUNCTION("IF(A156&lt;&gt;"""", 
   IF(COUNTA(SPLIT(TRIM(A156), "" ""))=1, 
      LOWER(TRIM(A156)) &amp; ""@zupee.in"", 
      LOWER(INDEX(SPLIT(TRIM(A156), "" ""), 1)) &amp; ""."" &amp; LOWER(INDEX(SPLIT(TRIM(A156), "" ""), COUNTA(SPLIT(TRIM(A156), "" "")))) &amp; ""@zupee.in""
   ), 
"&amp;"   """")"),"")</f>
        <v/>
      </c>
      <c r="C156" s="10"/>
    </row>
    <row r="157" ht="15.75" customHeight="1">
      <c r="A157" s="12"/>
      <c r="B157" s="9" t="str">
        <f>IFERROR(__xludf.DUMMYFUNCTION("IF(A157&lt;&gt;"""", 
   IF(COUNTA(SPLIT(TRIM(A157), "" ""))=1, 
      LOWER(TRIM(A157)) &amp; ""@zupee.in"", 
      LOWER(INDEX(SPLIT(TRIM(A157), "" ""), 1)) &amp; ""."" &amp; LOWER(INDEX(SPLIT(TRIM(A157), "" ""), COUNTA(SPLIT(TRIM(A157), "" "")))) &amp; ""@zupee.in""
   ), 
"&amp;"   """")"),"")</f>
        <v/>
      </c>
      <c r="C157" s="10"/>
    </row>
    <row r="158" ht="15.75" customHeight="1">
      <c r="A158" s="12"/>
      <c r="B158" s="9" t="str">
        <f>IFERROR(__xludf.DUMMYFUNCTION("IF(A158&lt;&gt;"""", 
   IF(COUNTA(SPLIT(TRIM(A158), "" ""))=1, 
      LOWER(TRIM(A158)) &amp; ""@zupee.in"", 
      LOWER(INDEX(SPLIT(TRIM(A158), "" ""), 1)) &amp; ""."" &amp; LOWER(INDEX(SPLIT(TRIM(A158), "" ""), COUNTA(SPLIT(TRIM(A158), "" "")))) &amp; ""@zupee.in""
   ), 
"&amp;"   """")"),"")</f>
        <v/>
      </c>
      <c r="C158" s="10"/>
    </row>
    <row r="159" ht="15.75" customHeight="1">
      <c r="A159" s="12"/>
      <c r="B159" s="9" t="str">
        <f>IFERROR(__xludf.DUMMYFUNCTION("IF(A159&lt;&gt;"""", 
   IF(COUNTA(SPLIT(TRIM(A159), "" ""))=1, 
      LOWER(TRIM(A159)) &amp; ""@zupee.in"", 
      LOWER(INDEX(SPLIT(TRIM(A159), "" ""), 1)) &amp; ""."" &amp; LOWER(INDEX(SPLIT(TRIM(A159), "" ""), COUNTA(SPLIT(TRIM(A159), "" "")))) &amp; ""@zupee.in""
   ), 
"&amp;"   """")"),"")</f>
        <v/>
      </c>
      <c r="C159" s="10"/>
    </row>
    <row r="160" ht="15.75" customHeight="1">
      <c r="A160" s="12"/>
      <c r="B160" s="9" t="str">
        <f>IFERROR(__xludf.DUMMYFUNCTION("IF(A160&lt;&gt;"""", 
   IF(COUNTA(SPLIT(TRIM(A160), "" ""))=1, 
      LOWER(TRIM(A160)) &amp; ""@zupee.in"", 
      LOWER(INDEX(SPLIT(TRIM(A160), "" ""), 1)) &amp; ""."" &amp; LOWER(INDEX(SPLIT(TRIM(A160), "" ""), COUNTA(SPLIT(TRIM(A160), "" "")))) &amp; ""@zupee.in""
   ), 
"&amp;"   """")"),"")</f>
        <v/>
      </c>
      <c r="C160" s="10"/>
    </row>
    <row r="161" ht="15.75" customHeight="1">
      <c r="A161" s="12"/>
      <c r="B161" s="9" t="str">
        <f>IFERROR(__xludf.DUMMYFUNCTION("IF(A161&lt;&gt;"""", 
   IF(COUNTA(SPLIT(TRIM(A161), "" ""))=1, 
      LOWER(TRIM(A161)) &amp; ""@zupee.in"", 
      LOWER(INDEX(SPLIT(TRIM(A161), "" ""), 1)) &amp; ""."" &amp; LOWER(INDEX(SPLIT(TRIM(A161), "" ""), COUNTA(SPLIT(TRIM(A161), "" "")))) &amp; ""@zupee.in""
   ), 
"&amp;"   """")"),"")</f>
        <v/>
      </c>
      <c r="C161" s="10"/>
    </row>
    <row r="162" ht="15.75" customHeight="1">
      <c r="A162" s="12"/>
      <c r="B162" s="9" t="str">
        <f>IFERROR(__xludf.DUMMYFUNCTION("IF(A162&lt;&gt;"""", 
   IF(COUNTA(SPLIT(TRIM(A162), "" ""))=1, 
      LOWER(TRIM(A162)) &amp; ""@zupee.in"", 
      LOWER(INDEX(SPLIT(TRIM(A162), "" ""), 1)) &amp; ""."" &amp; LOWER(INDEX(SPLIT(TRIM(A162), "" ""), COUNTA(SPLIT(TRIM(A162), "" "")))) &amp; ""@zupee.in""
   ), 
"&amp;"   """")"),"")</f>
        <v/>
      </c>
      <c r="C162" s="10"/>
    </row>
    <row r="163" ht="15.75" customHeight="1">
      <c r="A163" s="12"/>
      <c r="B163" s="9" t="str">
        <f>IFERROR(__xludf.DUMMYFUNCTION("IF(A163&lt;&gt;"""", 
   IF(COUNTA(SPLIT(TRIM(A163), "" ""))=1, 
      LOWER(TRIM(A163)) &amp; ""@zupee.in"", 
      LOWER(INDEX(SPLIT(TRIM(A163), "" ""), 1)) &amp; ""."" &amp; LOWER(INDEX(SPLIT(TRIM(A163), "" ""), COUNTA(SPLIT(TRIM(A163), "" "")))) &amp; ""@zupee.in""
   ), 
"&amp;"   """")"),"")</f>
        <v/>
      </c>
      <c r="C163" s="10"/>
    </row>
    <row r="164" ht="15.75" customHeight="1">
      <c r="A164" s="12"/>
      <c r="B164" s="9" t="str">
        <f>IFERROR(__xludf.DUMMYFUNCTION("IF(A164&lt;&gt;"""", 
   IF(COUNTA(SPLIT(TRIM(A164), "" ""))=1, 
      LOWER(TRIM(A164)) &amp; ""@zupee.in"", 
      LOWER(INDEX(SPLIT(TRIM(A164), "" ""), 1)) &amp; ""."" &amp; LOWER(INDEX(SPLIT(TRIM(A164), "" ""), COUNTA(SPLIT(TRIM(A164), "" "")))) &amp; ""@zupee.in""
   ), 
"&amp;"   """")"),"")</f>
        <v/>
      </c>
      <c r="C164" s="10"/>
    </row>
    <row r="165" ht="15.75" customHeight="1">
      <c r="A165" s="12"/>
      <c r="B165" s="9" t="str">
        <f>IFERROR(__xludf.DUMMYFUNCTION("IF(A165&lt;&gt;"""", 
   IF(COUNTA(SPLIT(TRIM(A165), "" ""))=1, 
      LOWER(TRIM(A165)) &amp; ""@zupee.in"", 
      LOWER(INDEX(SPLIT(TRIM(A165), "" ""), 1)) &amp; ""."" &amp; LOWER(INDEX(SPLIT(TRIM(A165), "" ""), COUNTA(SPLIT(TRIM(A165), "" "")))) &amp; ""@zupee.in""
   ), 
"&amp;"   """")"),"")</f>
        <v/>
      </c>
      <c r="C165" s="10"/>
    </row>
    <row r="166" ht="15.75" customHeight="1">
      <c r="A166" s="12"/>
      <c r="B166" s="9" t="str">
        <f>IFERROR(__xludf.DUMMYFUNCTION("IF(A166&lt;&gt;"""", 
   IF(COUNTA(SPLIT(TRIM(A166), "" ""))=1, 
      LOWER(TRIM(A166)) &amp; ""@zupee.in"", 
      LOWER(INDEX(SPLIT(TRIM(A166), "" ""), 1)) &amp; ""."" &amp; LOWER(INDEX(SPLIT(TRIM(A166), "" ""), COUNTA(SPLIT(TRIM(A166), "" "")))) &amp; ""@zupee.in""
   ), 
"&amp;"   """")"),"")</f>
        <v/>
      </c>
      <c r="C166" s="10"/>
    </row>
    <row r="167" ht="15.75" customHeight="1">
      <c r="A167" s="12"/>
      <c r="B167" s="9" t="str">
        <f>IFERROR(__xludf.DUMMYFUNCTION("IF(A167&lt;&gt;"""", 
   IF(COUNTA(SPLIT(TRIM(A167), "" ""))=1, 
      LOWER(TRIM(A167)) &amp; ""@zupee.in"", 
      LOWER(INDEX(SPLIT(TRIM(A167), "" ""), 1)) &amp; ""."" &amp; LOWER(INDEX(SPLIT(TRIM(A167), "" ""), COUNTA(SPLIT(TRIM(A167), "" "")))) &amp; ""@zupee.in""
   ), 
"&amp;"   """")"),"")</f>
        <v/>
      </c>
      <c r="C167" s="10"/>
    </row>
    <row r="168" ht="15.75" customHeight="1">
      <c r="A168" s="12"/>
      <c r="B168" s="9" t="str">
        <f>IFERROR(__xludf.DUMMYFUNCTION("IF(A168&lt;&gt;"""", 
   IF(COUNTA(SPLIT(TRIM(A168), "" ""))=1, 
      LOWER(TRIM(A168)) &amp; ""@zupee.in"", 
      LOWER(INDEX(SPLIT(TRIM(A168), "" ""), 1)) &amp; ""."" &amp; LOWER(INDEX(SPLIT(TRIM(A168), "" ""), COUNTA(SPLIT(TRIM(A168), "" "")))) &amp; ""@zupee.in""
   ), 
"&amp;"   """")"),"")</f>
        <v/>
      </c>
      <c r="C168" s="10"/>
    </row>
    <row r="169" ht="15.75" customHeight="1">
      <c r="A169" s="12"/>
      <c r="B169" s="9" t="str">
        <f>IFERROR(__xludf.DUMMYFUNCTION("IF(A169&lt;&gt;"""", 
   IF(COUNTA(SPLIT(TRIM(A169), "" ""))=1, 
      LOWER(TRIM(A169)) &amp; ""@zupee.in"", 
      LOWER(INDEX(SPLIT(TRIM(A169), "" ""), 1)) &amp; ""."" &amp; LOWER(INDEX(SPLIT(TRIM(A169), "" ""), COUNTA(SPLIT(TRIM(A169), "" "")))) &amp; ""@zupee.in""
   ), 
"&amp;"   """")"),"")</f>
        <v/>
      </c>
      <c r="C169" s="10"/>
    </row>
    <row r="170" ht="15.75" customHeight="1">
      <c r="A170" s="12"/>
      <c r="B170" s="9" t="str">
        <f>IFERROR(__xludf.DUMMYFUNCTION("IF(A170&lt;&gt;"""", 
   IF(COUNTA(SPLIT(TRIM(A170), "" ""))=1, 
      LOWER(TRIM(A170)) &amp; ""@zupee.in"", 
      LOWER(INDEX(SPLIT(TRIM(A170), "" ""), 1)) &amp; ""."" &amp; LOWER(INDEX(SPLIT(TRIM(A170), "" ""), COUNTA(SPLIT(TRIM(A170), "" "")))) &amp; ""@zupee.in""
   ), 
"&amp;"   """")"),"")</f>
        <v/>
      </c>
      <c r="C170" s="10"/>
    </row>
    <row r="171" ht="15.75" customHeight="1">
      <c r="A171" s="12"/>
      <c r="B171" s="9" t="str">
        <f>IFERROR(__xludf.DUMMYFUNCTION("IF(A171&lt;&gt;"""", 
   IF(COUNTA(SPLIT(TRIM(A171), "" ""))=1, 
      LOWER(TRIM(A171)) &amp; ""@zupee.in"", 
      LOWER(INDEX(SPLIT(TRIM(A171), "" ""), 1)) &amp; ""."" &amp; LOWER(INDEX(SPLIT(TRIM(A171), "" ""), COUNTA(SPLIT(TRIM(A171), "" "")))) &amp; ""@zupee.in""
   ), 
"&amp;"   """")"),"")</f>
        <v/>
      </c>
      <c r="C171" s="10"/>
    </row>
    <row r="172" ht="15.75" customHeight="1">
      <c r="A172" s="12"/>
      <c r="B172" s="9" t="str">
        <f>IFERROR(__xludf.DUMMYFUNCTION("IF(A172&lt;&gt;"""", 
   IF(COUNTA(SPLIT(TRIM(A172), "" ""))=1, 
      LOWER(TRIM(A172)) &amp; ""@zupee.in"", 
      LOWER(INDEX(SPLIT(TRIM(A172), "" ""), 1)) &amp; ""."" &amp; LOWER(INDEX(SPLIT(TRIM(A172), "" ""), COUNTA(SPLIT(TRIM(A172), "" "")))) &amp; ""@zupee.in""
   ), 
"&amp;"   """")"),"")</f>
        <v/>
      </c>
      <c r="C172" s="10"/>
    </row>
    <row r="173" ht="15.75" customHeight="1">
      <c r="A173" s="12"/>
      <c r="B173" s="9" t="str">
        <f>IFERROR(__xludf.DUMMYFUNCTION("IF(A173&lt;&gt;"""", 
   IF(COUNTA(SPLIT(TRIM(A173), "" ""))=1, 
      LOWER(TRIM(A173)) &amp; ""@zupee.in"", 
      LOWER(INDEX(SPLIT(TRIM(A173), "" ""), 1)) &amp; ""."" &amp; LOWER(INDEX(SPLIT(TRIM(A173), "" ""), COUNTA(SPLIT(TRIM(A173), "" "")))) &amp; ""@zupee.in""
   ), 
"&amp;"   """")"),"")</f>
        <v/>
      </c>
      <c r="C173" s="10"/>
    </row>
    <row r="174" ht="15.75" customHeight="1">
      <c r="A174" s="12"/>
      <c r="B174" s="9" t="str">
        <f>IFERROR(__xludf.DUMMYFUNCTION("IF(A174&lt;&gt;"""", 
   IF(COUNTA(SPLIT(TRIM(A174), "" ""))=1, 
      LOWER(TRIM(A174)) &amp; ""@zupee.in"", 
      LOWER(INDEX(SPLIT(TRIM(A174), "" ""), 1)) &amp; ""."" &amp; LOWER(INDEX(SPLIT(TRIM(A174), "" ""), COUNTA(SPLIT(TRIM(A174), "" "")))) &amp; ""@zupee.in""
   ), 
"&amp;"   """")"),"")</f>
        <v/>
      </c>
      <c r="C174" s="10"/>
    </row>
    <row r="175" ht="15.75" customHeight="1">
      <c r="A175" s="12"/>
      <c r="B175" s="9" t="str">
        <f>IFERROR(__xludf.DUMMYFUNCTION("IF(A175&lt;&gt;"""", 
   IF(COUNTA(SPLIT(TRIM(A175), "" ""))=1, 
      LOWER(TRIM(A175)) &amp; ""@zupee.in"", 
      LOWER(INDEX(SPLIT(TRIM(A175), "" ""), 1)) &amp; ""."" &amp; LOWER(INDEX(SPLIT(TRIM(A175), "" ""), COUNTA(SPLIT(TRIM(A175), "" "")))) &amp; ""@zupee.in""
   ), 
"&amp;"   """")"),"")</f>
        <v/>
      </c>
      <c r="C175" s="10"/>
    </row>
    <row r="176" ht="15.75" customHeight="1">
      <c r="A176" s="12"/>
      <c r="B176" s="9" t="str">
        <f>IFERROR(__xludf.DUMMYFUNCTION("IF(A176&lt;&gt;"""", 
   IF(COUNTA(SPLIT(TRIM(A176), "" ""))=1, 
      LOWER(TRIM(A176)) &amp; ""@zupee.in"", 
      LOWER(INDEX(SPLIT(TRIM(A176), "" ""), 1)) &amp; ""."" &amp; LOWER(INDEX(SPLIT(TRIM(A176), "" ""), COUNTA(SPLIT(TRIM(A176), "" "")))) &amp; ""@zupee.in""
   ), 
"&amp;"   """")"),"")</f>
        <v/>
      </c>
      <c r="C176" s="10"/>
    </row>
    <row r="177" ht="15.75" customHeight="1">
      <c r="A177" s="12"/>
      <c r="B177" s="9" t="str">
        <f>IFERROR(__xludf.DUMMYFUNCTION("IF(A177&lt;&gt;"""", 
   IF(COUNTA(SPLIT(TRIM(A177), "" ""))=1, 
      LOWER(TRIM(A177)) &amp; ""@zupee.in"", 
      LOWER(INDEX(SPLIT(TRIM(A177), "" ""), 1)) &amp; ""."" &amp; LOWER(INDEX(SPLIT(TRIM(A177), "" ""), COUNTA(SPLIT(TRIM(A177), "" "")))) &amp; ""@zupee.in""
   ), 
"&amp;"   """")"),"")</f>
        <v/>
      </c>
      <c r="C177" s="10"/>
    </row>
    <row r="178" ht="15.75" customHeight="1">
      <c r="A178" s="12"/>
      <c r="B178" s="9" t="str">
        <f>IFERROR(__xludf.DUMMYFUNCTION("IF(A178&lt;&gt;"""", 
   IF(COUNTA(SPLIT(TRIM(A178), "" ""))=1, 
      LOWER(TRIM(A178)) &amp; ""@zupee.in"", 
      LOWER(INDEX(SPLIT(TRIM(A178), "" ""), 1)) &amp; ""."" &amp; LOWER(INDEX(SPLIT(TRIM(A178), "" ""), COUNTA(SPLIT(TRIM(A178), "" "")))) &amp; ""@zupee.in""
   ), 
"&amp;"   """")"),"")</f>
        <v/>
      </c>
      <c r="C178" s="10"/>
    </row>
    <row r="179" ht="15.75" customHeight="1">
      <c r="A179" s="12"/>
      <c r="B179" s="9" t="str">
        <f>IFERROR(__xludf.DUMMYFUNCTION("IF(A179&lt;&gt;"""", 
   IF(COUNTA(SPLIT(TRIM(A179), "" ""))=1, 
      LOWER(TRIM(A179)) &amp; ""@zupee.in"", 
      LOWER(INDEX(SPLIT(TRIM(A179), "" ""), 1)) &amp; ""."" &amp; LOWER(INDEX(SPLIT(TRIM(A179), "" ""), COUNTA(SPLIT(TRIM(A179), "" "")))) &amp; ""@zupee.in""
   ), 
"&amp;"   """")"),"")</f>
        <v/>
      </c>
      <c r="C179" s="10"/>
    </row>
    <row r="180" ht="15.75" customHeight="1">
      <c r="A180" s="12"/>
      <c r="B180" s="9" t="str">
        <f>IFERROR(__xludf.DUMMYFUNCTION("IF(A180&lt;&gt;"""", 
   IF(COUNTA(SPLIT(TRIM(A180), "" ""))=1, 
      LOWER(TRIM(A180)) &amp; ""@zupee.in"", 
      LOWER(INDEX(SPLIT(TRIM(A180), "" ""), 1)) &amp; ""."" &amp; LOWER(INDEX(SPLIT(TRIM(A180), "" ""), COUNTA(SPLIT(TRIM(A180), "" "")))) &amp; ""@zupee.in""
   ), 
"&amp;"   """")"),"")</f>
        <v/>
      </c>
      <c r="C180" s="10"/>
    </row>
    <row r="181" ht="15.75" customHeight="1">
      <c r="A181" s="12"/>
      <c r="B181" s="9" t="str">
        <f>IFERROR(__xludf.DUMMYFUNCTION("IF(A181&lt;&gt;"""", 
   IF(COUNTA(SPLIT(TRIM(A181), "" ""))=1, 
      LOWER(TRIM(A181)) &amp; ""@zupee.in"", 
      LOWER(INDEX(SPLIT(TRIM(A181), "" ""), 1)) &amp; ""."" &amp; LOWER(INDEX(SPLIT(TRIM(A181), "" ""), COUNTA(SPLIT(TRIM(A181), "" "")))) &amp; ""@zupee.in""
   ), 
"&amp;"   """")"),"")</f>
        <v/>
      </c>
      <c r="C181" s="10"/>
    </row>
    <row r="182" ht="15.75" customHeight="1">
      <c r="A182" s="12"/>
      <c r="B182" s="9" t="str">
        <f>IFERROR(__xludf.DUMMYFUNCTION("IF(A182&lt;&gt;"""", 
   IF(COUNTA(SPLIT(TRIM(A182), "" ""))=1, 
      LOWER(TRIM(A182)) &amp; ""@zupee.in"", 
      LOWER(INDEX(SPLIT(TRIM(A182), "" ""), 1)) &amp; ""."" &amp; LOWER(INDEX(SPLIT(TRIM(A182), "" ""), COUNTA(SPLIT(TRIM(A182), "" "")))) &amp; ""@zupee.in""
   ), 
"&amp;"   """")"),"")</f>
        <v/>
      </c>
      <c r="C182" s="10"/>
    </row>
    <row r="183" ht="15.75" customHeight="1">
      <c r="A183" s="12"/>
      <c r="B183" s="9" t="str">
        <f>IFERROR(__xludf.DUMMYFUNCTION("IF(A183&lt;&gt;"""", 
   IF(COUNTA(SPLIT(TRIM(A183), "" ""))=1, 
      LOWER(TRIM(A183)) &amp; ""@zupee.in"", 
      LOWER(INDEX(SPLIT(TRIM(A183), "" ""), 1)) &amp; ""."" &amp; LOWER(INDEX(SPLIT(TRIM(A183), "" ""), COUNTA(SPLIT(TRIM(A183), "" "")))) &amp; ""@zupee.in""
   ), 
"&amp;"   """")"),"")</f>
        <v/>
      </c>
      <c r="C183" s="10"/>
    </row>
    <row r="184" ht="15.75" customHeight="1">
      <c r="A184" s="12"/>
      <c r="B184" s="9" t="str">
        <f>IFERROR(__xludf.DUMMYFUNCTION("IF(A184&lt;&gt;"""", 
   IF(COUNTA(SPLIT(TRIM(A184), "" ""))=1, 
      LOWER(TRIM(A184)) &amp; ""@zupee.in"", 
      LOWER(INDEX(SPLIT(TRIM(A184), "" ""), 1)) &amp; ""."" &amp; LOWER(INDEX(SPLIT(TRIM(A184), "" ""), COUNTA(SPLIT(TRIM(A184), "" "")))) &amp; ""@zupee.in""
   ), 
"&amp;"   """")"),"")</f>
        <v/>
      </c>
      <c r="C184" s="10"/>
    </row>
    <row r="185" ht="15.75" customHeight="1">
      <c r="A185" s="12"/>
      <c r="B185" s="9" t="str">
        <f>IFERROR(__xludf.DUMMYFUNCTION("IF(A185&lt;&gt;"""", 
   IF(COUNTA(SPLIT(TRIM(A185), "" ""))=1, 
      LOWER(TRIM(A185)) &amp; ""@zupee.in"", 
      LOWER(INDEX(SPLIT(TRIM(A185), "" ""), 1)) &amp; ""."" &amp; LOWER(INDEX(SPLIT(TRIM(A185), "" ""), COUNTA(SPLIT(TRIM(A185), "" "")))) &amp; ""@zupee.in""
   ), 
"&amp;"   """")"),"")</f>
        <v/>
      </c>
      <c r="C185" s="10"/>
    </row>
    <row r="186" ht="15.75" customHeight="1">
      <c r="A186" s="12"/>
      <c r="B186" s="9" t="str">
        <f>IFERROR(__xludf.DUMMYFUNCTION("IF(A186&lt;&gt;"""", 
   IF(COUNTA(SPLIT(TRIM(A186), "" ""))=1, 
      LOWER(TRIM(A186)) &amp; ""@zupee.in"", 
      LOWER(INDEX(SPLIT(TRIM(A186), "" ""), 1)) &amp; ""."" &amp; LOWER(INDEX(SPLIT(TRIM(A186), "" ""), COUNTA(SPLIT(TRIM(A186), "" "")))) &amp; ""@zupee.in""
   ), 
"&amp;"   """")"),"")</f>
        <v/>
      </c>
      <c r="C186" s="10"/>
    </row>
    <row r="187" ht="15.75" customHeight="1">
      <c r="A187" s="12"/>
      <c r="B187" s="9" t="str">
        <f>IFERROR(__xludf.DUMMYFUNCTION("IF(A187&lt;&gt;"""", 
   IF(COUNTA(SPLIT(TRIM(A187), "" ""))=1, 
      LOWER(TRIM(A187)) &amp; ""@zupee.in"", 
      LOWER(INDEX(SPLIT(TRIM(A187), "" ""), 1)) &amp; ""."" &amp; LOWER(INDEX(SPLIT(TRIM(A187), "" ""), COUNTA(SPLIT(TRIM(A187), "" "")))) &amp; ""@zupee.in""
   ), 
"&amp;"   """")"),"")</f>
        <v/>
      </c>
      <c r="C187" s="10"/>
    </row>
    <row r="188" ht="15.75" customHeight="1">
      <c r="A188" s="12"/>
      <c r="B188" s="9" t="str">
        <f>IFERROR(__xludf.DUMMYFUNCTION("IF(A188&lt;&gt;"""", 
   IF(COUNTA(SPLIT(TRIM(A188), "" ""))=1, 
      LOWER(TRIM(A188)) &amp; ""@zupee.in"", 
      LOWER(INDEX(SPLIT(TRIM(A188), "" ""), 1)) &amp; ""."" &amp; LOWER(INDEX(SPLIT(TRIM(A188), "" ""), COUNTA(SPLIT(TRIM(A188), "" "")))) &amp; ""@zupee.in""
   ), 
"&amp;"   """")"),"")</f>
        <v/>
      </c>
      <c r="C188" s="10"/>
    </row>
    <row r="189" ht="15.75" customHeight="1">
      <c r="A189" s="12"/>
      <c r="B189" s="9" t="str">
        <f>IFERROR(__xludf.DUMMYFUNCTION("IF(A189&lt;&gt;"""", 
   IF(COUNTA(SPLIT(TRIM(A189), "" ""))=1, 
      LOWER(TRIM(A189)) &amp; ""@zupee.in"", 
      LOWER(INDEX(SPLIT(TRIM(A189), "" ""), 1)) &amp; ""."" &amp; LOWER(INDEX(SPLIT(TRIM(A189), "" ""), COUNTA(SPLIT(TRIM(A189), "" "")))) &amp; ""@zupee.in""
   ), 
"&amp;"   """")"),"")</f>
        <v/>
      </c>
      <c r="C189" s="10"/>
    </row>
    <row r="190" ht="15.75" customHeight="1">
      <c r="A190" s="12"/>
      <c r="B190" s="9" t="str">
        <f>IFERROR(__xludf.DUMMYFUNCTION("IF(A190&lt;&gt;"""", 
   IF(COUNTA(SPLIT(TRIM(A190), "" ""))=1, 
      LOWER(TRIM(A190)) &amp; ""@zupee.in"", 
      LOWER(INDEX(SPLIT(TRIM(A190), "" ""), 1)) &amp; ""."" &amp; LOWER(INDEX(SPLIT(TRIM(A190), "" ""), COUNTA(SPLIT(TRIM(A190), "" "")))) &amp; ""@zupee.in""
   ), 
"&amp;"   """")"),"")</f>
        <v/>
      </c>
      <c r="C190" s="10"/>
    </row>
    <row r="191" ht="15.75" customHeight="1">
      <c r="A191" s="12"/>
      <c r="B191" s="9" t="str">
        <f>IFERROR(__xludf.DUMMYFUNCTION("IF(A191&lt;&gt;"""", 
   IF(COUNTA(SPLIT(TRIM(A191), "" ""))=1, 
      LOWER(TRIM(A191)) &amp; ""@zupee.in"", 
      LOWER(INDEX(SPLIT(TRIM(A191), "" ""), 1)) &amp; ""."" &amp; LOWER(INDEX(SPLIT(TRIM(A191), "" ""), COUNTA(SPLIT(TRIM(A191), "" "")))) &amp; ""@zupee.in""
   ), 
"&amp;"   """")"),"")</f>
        <v/>
      </c>
      <c r="C191" s="10"/>
    </row>
    <row r="192" ht="15.75" customHeight="1">
      <c r="A192" s="12"/>
      <c r="B192" s="9" t="str">
        <f>IFERROR(__xludf.DUMMYFUNCTION("IF(A192&lt;&gt;"""", 
   IF(COUNTA(SPLIT(TRIM(A192), "" ""))=1, 
      LOWER(TRIM(A192)) &amp; ""@zupee.in"", 
      LOWER(INDEX(SPLIT(TRIM(A192), "" ""), 1)) &amp; ""."" &amp; LOWER(INDEX(SPLIT(TRIM(A192), "" ""), COUNTA(SPLIT(TRIM(A192), "" "")))) &amp; ""@zupee.in""
   ), 
"&amp;"   """")"),"")</f>
        <v/>
      </c>
      <c r="C192" s="10"/>
    </row>
    <row r="193" ht="15.75" customHeight="1">
      <c r="A193" s="12"/>
      <c r="B193" s="9" t="str">
        <f>IFERROR(__xludf.DUMMYFUNCTION("IF(A193&lt;&gt;"""", 
   IF(COUNTA(SPLIT(TRIM(A193), "" ""))=1, 
      LOWER(TRIM(A193)) &amp; ""@zupee.in"", 
      LOWER(INDEX(SPLIT(TRIM(A193), "" ""), 1)) &amp; ""."" &amp; LOWER(INDEX(SPLIT(TRIM(A193), "" ""), COUNTA(SPLIT(TRIM(A193), "" "")))) &amp; ""@zupee.in""
   ), 
"&amp;"   """")"),"")</f>
        <v/>
      </c>
      <c r="C193" s="10"/>
    </row>
    <row r="194" ht="15.75" customHeight="1">
      <c r="A194" s="12"/>
      <c r="B194" s="9" t="str">
        <f>IFERROR(__xludf.DUMMYFUNCTION("IF(A194&lt;&gt;"""", 
   IF(COUNTA(SPLIT(TRIM(A194), "" ""))=1, 
      LOWER(TRIM(A194)) &amp; ""@zupee.in"", 
      LOWER(INDEX(SPLIT(TRIM(A194), "" ""), 1)) &amp; ""."" &amp; LOWER(INDEX(SPLIT(TRIM(A194), "" ""), COUNTA(SPLIT(TRIM(A194), "" "")))) &amp; ""@zupee.in""
   ), 
"&amp;"   """")"),"")</f>
        <v/>
      </c>
      <c r="C194" s="10"/>
    </row>
    <row r="195" ht="15.75" customHeight="1">
      <c r="A195" s="12"/>
      <c r="B195" s="9" t="str">
        <f>IFERROR(__xludf.DUMMYFUNCTION("IF(A195&lt;&gt;"""", 
   IF(COUNTA(SPLIT(TRIM(A195), "" ""))=1, 
      LOWER(TRIM(A195)) &amp; ""@zupee.in"", 
      LOWER(INDEX(SPLIT(TRIM(A195), "" ""), 1)) &amp; ""."" &amp; LOWER(INDEX(SPLIT(TRIM(A195), "" ""), COUNTA(SPLIT(TRIM(A195), "" "")))) &amp; ""@zupee.in""
   ), 
"&amp;"   """")"),"")</f>
        <v/>
      </c>
      <c r="C195" s="10"/>
    </row>
    <row r="196" ht="15.75" customHeight="1">
      <c r="A196" s="12"/>
      <c r="B196" s="9" t="str">
        <f>IFERROR(__xludf.DUMMYFUNCTION("IF(A196&lt;&gt;"""", 
   IF(COUNTA(SPLIT(TRIM(A196), "" ""))=1, 
      LOWER(TRIM(A196)) &amp; ""@zupee.in"", 
      LOWER(INDEX(SPLIT(TRIM(A196), "" ""), 1)) &amp; ""."" &amp; LOWER(INDEX(SPLIT(TRIM(A196), "" ""), COUNTA(SPLIT(TRIM(A196), "" "")))) &amp; ""@zupee.in""
   ), 
"&amp;"   """")"),"")</f>
        <v/>
      </c>
      <c r="C196" s="10"/>
    </row>
    <row r="197" ht="15.75" customHeight="1">
      <c r="A197" s="12"/>
      <c r="B197" s="9" t="str">
        <f>IFERROR(__xludf.DUMMYFUNCTION("IF(A197&lt;&gt;"""", 
   IF(COUNTA(SPLIT(TRIM(A197), "" ""))=1, 
      LOWER(TRIM(A197)) &amp; ""@zupee.in"", 
      LOWER(INDEX(SPLIT(TRIM(A197), "" ""), 1)) &amp; ""."" &amp; LOWER(INDEX(SPLIT(TRIM(A197), "" ""), COUNTA(SPLIT(TRIM(A197), "" "")))) &amp; ""@zupee.in""
   ), 
"&amp;"   """")"),"")</f>
        <v/>
      </c>
      <c r="C197" s="10"/>
    </row>
    <row r="198" ht="15.75" customHeight="1">
      <c r="A198" s="12"/>
      <c r="B198" s="9" t="str">
        <f>IFERROR(__xludf.DUMMYFUNCTION("IF(A198&lt;&gt;"""", 
   IF(COUNTA(SPLIT(TRIM(A198), "" ""))=1, 
      LOWER(TRIM(A198)) &amp; ""@zupee.in"", 
      LOWER(INDEX(SPLIT(TRIM(A198), "" ""), 1)) &amp; ""."" &amp; LOWER(INDEX(SPLIT(TRIM(A198), "" ""), COUNTA(SPLIT(TRIM(A198), "" "")))) &amp; ""@zupee.in""
   ), 
"&amp;"   """")"),"")</f>
        <v/>
      </c>
      <c r="C198" s="10"/>
    </row>
    <row r="199" ht="15.75" customHeight="1">
      <c r="A199" s="12"/>
      <c r="B199" s="9" t="str">
        <f>IFERROR(__xludf.DUMMYFUNCTION("IF(A199&lt;&gt;"""", 
   IF(COUNTA(SPLIT(TRIM(A199), "" ""))=1, 
      LOWER(TRIM(A199)) &amp; ""@zupee.in"", 
      LOWER(INDEX(SPLIT(TRIM(A199), "" ""), 1)) &amp; ""."" &amp; LOWER(INDEX(SPLIT(TRIM(A199), "" ""), COUNTA(SPLIT(TRIM(A199), "" "")))) &amp; ""@zupee.in""
   ), 
"&amp;"   """")"),"")</f>
        <v/>
      </c>
      <c r="C199" s="10"/>
    </row>
    <row r="200" ht="15.75" customHeight="1">
      <c r="A200" s="12"/>
      <c r="B200" s="9" t="str">
        <f>IFERROR(__xludf.DUMMYFUNCTION("IF(A200&lt;&gt;"""", 
   IF(COUNTA(SPLIT(TRIM(A200), "" ""))=1, 
      LOWER(TRIM(A200)) &amp; ""@zupee.in"", 
      LOWER(INDEX(SPLIT(TRIM(A200), "" ""), 1)) &amp; ""."" &amp; LOWER(INDEX(SPLIT(TRIM(A200), "" ""), COUNTA(SPLIT(TRIM(A200), "" "")))) &amp; ""@zupee.in""
   ), 
"&amp;"   """")"),"")</f>
        <v/>
      </c>
      <c r="C200" s="10"/>
    </row>
    <row r="201" ht="15.75" customHeight="1">
      <c r="A201" s="12"/>
      <c r="B201" s="9" t="str">
        <f>IFERROR(__xludf.DUMMYFUNCTION("IF(A201&lt;&gt;"""", 
   IF(COUNTA(SPLIT(TRIM(A201), "" ""))=1, 
      LOWER(TRIM(A201)) &amp; ""@zupee.in"", 
      LOWER(INDEX(SPLIT(TRIM(A201), "" ""), 1)) &amp; ""."" &amp; LOWER(INDEX(SPLIT(TRIM(A201), "" ""), COUNTA(SPLIT(TRIM(A201), "" "")))) &amp; ""@zupee.in""
   ), 
"&amp;"   """")"),"")</f>
        <v/>
      </c>
      <c r="C201" s="10"/>
    </row>
    <row r="202" ht="15.75" customHeight="1">
      <c r="A202" s="12"/>
      <c r="B202" s="9" t="str">
        <f>IFERROR(__xludf.DUMMYFUNCTION("IF(A202&lt;&gt;"""", 
   IF(COUNTA(SPLIT(TRIM(A202), "" ""))=1, 
      LOWER(TRIM(A202)) &amp; ""@zupee.in"", 
      LOWER(INDEX(SPLIT(TRIM(A202), "" ""), 1)) &amp; ""."" &amp; LOWER(INDEX(SPLIT(TRIM(A202), "" ""), COUNTA(SPLIT(TRIM(A202), "" "")))) &amp; ""@zupee.in""
   ), 
"&amp;"   """")"),"")</f>
        <v/>
      </c>
      <c r="C202" s="10"/>
    </row>
    <row r="203" ht="15.75" customHeight="1">
      <c r="A203" s="12"/>
      <c r="B203" s="9" t="str">
        <f>IFERROR(__xludf.DUMMYFUNCTION("IF(A203&lt;&gt;"""", 
   IF(COUNTA(SPLIT(TRIM(A203), "" ""))=1, 
      LOWER(TRIM(A203)) &amp; ""@zupee.in"", 
      LOWER(INDEX(SPLIT(TRIM(A203), "" ""), 1)) &amp; ""."" &amp; LOWER(INDEX(SPLIT(TRIM(A203), "" ""), COUNTA(SPLIT(TRIM(A203), "" "")))) &amp; ""@zupee.in""
   ), 
"&amp;"   """")"),"")</f>
        <v/>
      </c>
      <c r="C203" s="10"/>
    </row>
    <row r="204" ht="15.75" customHeight="1">
      <c r="A204" s="12"/>
      <c r="B204" s="9" t="str">
        <f>IFERROR(__xludf.DUMMYFUNCTION("IF(A204&lt;&gt;"""", 
   IF(COUNTA(SPLIT(TRIM(A204), "" ""))=1, 
      LOWER(TRIM(A204)) &amp; ""@zupee.in"", 
      LOWER(INDEX(SPLIT(TRIM(A204), "" ""), 1)) &amp; ""."" &amp; LOWER(INDEX(SPLIT(TRIM(A204), "" ""), COUNTA(SPLIT(TRIM(A204), "" "")))) &amp; ""@zupee.in""
   ), 
"&amp;"   """")"),"")</f>
        <v/>
      </c>
      <c r="C204" s="10"/>
    </row>
    <row r="205" ht="15.75" customHeight="1">
      <c r="A205" s="12"/>
      <c r="B205" s="9" t="str">
        <f>IFERROR(__xludf.DUMMYFUNCTION("IF(A205&lt;&gt;"""", 
   IF(COUNTA(SPLIT(TRIM(A205), "" ""))=1, 
      LOWER(TRIM(A205)) &amp; ""@zupee.in"", 
      LOWER(INDEX(SPLIT(TRIM(A205), "" ""), 1)) &amp; ""."" &amp; LOWER(INDEX(SPLIT(TRIM(A205), "" ""), COUNTA(SPLIT(TRIM(A205), "" "")))) &amp; ""@zupee.in""
   ), 
"&amp;"   """")"),"")</f>
        <v/>
      </c>
      <c r="C205" s="10"/>
    </row>
    <row r="206" ht="15.75" customHeight="1">
      <c r="A206" s="12"/>
      <c r="B206" s="9" t="str">
        <f>IFERROR(__xludf.DUMMYFUNCTION("IF(A206&lt;&gt;"""", 
   IF(COUNTA(SPLIT(TRIM(A206), "" ""))=1, 
      LOWER(TRIM(A206)) &amp; ""@zupee.in"", 
      LOWER(INDEX(SPLIT(TRIM(A206), "" ""), 1)) &amp; ""."" &amp; LOWER(INDEX(SPLIT(TRIM(A206), "" ""), COUNTA(SPLIT(TRIM(A206), "" "")))) &amp; ""@zupee.in""
   ), 
"&amp;"   """")"),"")</f>
        <v/>
      </c>
      <c r="C206" s="10"/>
    </row>
    <row r="207" ht="15.75" customHeight="1">
      <c r="A207" s="12"/>
      <c r="B207" s="9" t="str">
        <f>IFERROR(__xludf.DUMMYFUNCTION("IF(A207&lt;&gt;"""", 
   IF(COUNTA(SPLIT(TRIM(A207), "" ""))=1, 
      LOWER(TRIM(A207)) &amp; ""@zupee.in"", 
      LOWER(INDEX(SPLIT(TRIM(A207), "" ""), 1)) &amp; ""."" &amp; LOWER(INDEX(SPLIT(TRIM(A207), "" ""), COUNTA(SPLIT(TRIM(A207), "" "")))) &amp; ""@zupee.in""
   ), 
"&amp;"   """")"),"")</f>
        <v/>
      </c>
      <c r="C207" s="10"/>
    </row>
    <row r="208" ht="15.75" customHeight="1">
      <c r="A208" s="12"/>
      <c r="B208" s="9" t="str">
        <f>IFERROR(__xludf.DUMMYFUNCTION("IF(A208&lt;&gt;"""", 
   IF(COUNTA(SPLIT(TRIM(A208), "" ""))=1, 
      LOWER(TRIM(A208)) &amp; ""@zupee.in"", 
      LOWER(INDEX(SPLIT(TRIM(A208), "" ""), 1)) &amp; ""."" &amp; LOWER(INDEX(SPLIT(TRIM(A208), "" ""), COUNTA(SPLIT(TRIM(A208), "" "")))) &amp; ""@zupee.in""
   ), 
"&amp;"   """")"),"")</f>
        <v/>
      </c>
      <c r="C208" s="10"/>
    </row>
    <row r="209" ht="15.75" customHeight="1">
      <c r="A209" s="12"/>
      <c r="B209" s="9" t="str">
        <f>IFERROR(__xludf.DUMMYFUNCTION("IF(A209&lt;&gt;"""", 
   IF(COUNTA(SPLIT(TRIM(A209), "" ""))=1, 
      LOWER(TRIM(A209)) &amp; ""@zupee.in"", 
      LOWER(INDEX(SPLIT(TRIM(A209), "" ""), 1)) &amp; ""."" &amp; LOWER(INDEX(SPLIT(TRIM(A209), "" ""), COUNTA(SPLIT(TRIM(A209), "" "")))) &amp; ""@zupee.in""
   ), 
"&amp;"   """")"),"")</f>
        <v/>
      </c>
      <c r="C209" s="10"/>
    </row>
    <row r="210" ht="15.75" customHeight="1">
      <c r="A210" s="12"/>
      <c r="B210" s="9" t="str">
        <f>IFERROR(__xludf.DUMMYFUNCTION("IF(A210&lt;&gt;"""", 
   IF(COUNTA(SPLIT(TRIM(A210), "" ""))=1, 
      LOWER(TRIM(A210)) &amp; ""@zupee.in"", 
      LOWER(INDEX(SPLIT(TRIM(A210), "" ""), 1)) &amp; ""."" &amp; LOWER(INDEX(SPLIT(TRIM(A210), "" ""), COUNTA(SPLIT(TRIM(A210), "" "")))) &amp; ""@zupee.in""
   ), 
"&amp;"   """")"),"")</f>
        <v/>
      </c>
      <c r="C210" s="10"/>
    </row>
    <row r="211" ht="15.75" customHeight="1">
      <c r="A211" s="12"/>
      <c r="B211" s="9" t="str">
        <f>IFERROR(__xludf.DUMMYFUNCTION("IF(A211&lt;&gt;"""", 
   IF(COUNTA(SPLIT(TRIM(A211), "" ""))=1, 
      LOWER(TRIM(A211)) &amp; ""@zupee.in"", 
      LOWER(INDEX(SPLIT(TRIM(A211), "" ""), 1)) &amp; ""."" &amp; LOWER(INDEX(SPLIT(TRIM(A211), "" ""), COUNTA(SPLIT(TRIM(A211), "" "")))) &amp; ""@zupee.in""
   ), 
"&amp;"   """")"),"")</f>
        <v/>
      </c>
      <c r="C211" s="10"/>
    </row>
    <row r="212" ht="15.75" customHeight="1">
      <c r="A212" s="12"/>
      <c r="B212" s="9" t="str">
        <f>IFERROR(__xludf.DUMMYFUNCTION("IF(A212&lt;&gt;"""", 
   IF(COUNTA(SPLIT(TRIM(A212), "" ""))=1, 
      LOWER(TRIM(A212)) &amp; ""@zupee.in"", 
      LOWER(INDEX(SPLIT(TRIM(A212), "" ""), 1)) &amp; ""."" &amp; LOWER(INDEX(SPLIT(TRIM(A212), "" ""), COUNTA(SPLIT(TRIM(A212), "" "")))) &amp; ""@zupee.in""
   ), 
"&amp;"   """")"),"")</f>
        <v/>
      </c>
      <c r="C212" s="10"/>
    </row>
    <row r="213" ht="15.75" customHeight="1">
      <c r="A213" s="12"/>
      <c r="B213" s="9" t="str">
        <f>IFERROR(__xludf.DUMMYFUNCTION("IF(A213&lt;&gt;"""", 
   IF(COUNTA(SPLIT(TRIM(A213), "" ""))=1, 
      LOWER(TRIM(A213)) &amp; ""@zupee.in"", 
      LOWER(INDEX(SPLIT(TRIM(A213), "" ""), 1)) &amp; ""."" &amp; LOWER(INDEX(SPLIT(TRIM(A213), "" ""), COUNTA(SPLIT(TRIM(A213), "" "")))) &amp; ""@zupee.in""
   ), 
"&amp;"   """")"),"")</f>
        <v/>
      </c>
      <c r="C213" s="10"/>
    </row>
    <row r="214" ht="15.75" customHeight="1">
      <c r="A214" s="12"/>
      <c r="B214" s="9" t="str">
        <f>IFERROR(__xludf.DUMMYFUNCTION("IF(A214&lt;&gt;"""", 
   IF(COUNTA(SPLIT(TRIM(A214), "" ""))=1, 
      LOWER(TRIM(A214)) &amp; ""@zupee.in"", 
      LOWER(INDEX(SPLIT(TRIM(A214), "" ""), 1)) &amp; ""."" &amp; LOWER(INDEX(SPLIT(TRIM(A214), "" ""), COUNTA(SPLIT(TRIM(A214), "" "")))) &amp; ""@zupee.in""
   ), 
"&amp;"   """")"),"")</f>
        <v/>
      </c>
      <c r="C214" s="10"/>
    </row>
    <row r="215" ht="15.75" customHeight="1">
      <c r="A215" s="12"/>
      <c r="B215" s="9" t="str">
        <f>IFERROR(__xludf.DUMMYFUNCTION("IF(A215&lt;&gt;"""", 
   IF(COUNTA(SPLIT(TRIM(A215), "" ""))=1, 
      LOWER(TRIM(A215)) &amp; ""@zupee.in"", 
      LOWER(INDEX(SPLIT(TRIM(A215), "" ""), 1)) &amp; ""."" &amp; LOWER(INDEX(SPLIT(TRIM(A215), "" ""), COUNTA(SPLIT(TRIM(A215), "" "")))) &amp; ""@zupee.in""
   ), 
"&amp;"   """")"),"")</f>
        <v/>
      </c>
      <c r="C215" s="10"/>
    </row>
    <row r="216" ht="15.75" customHeight="1">
      <c r="A216" s="12"/>
      <c r="B216" s="9" t="str">
        <f>IFERROR(__xludf.DUMMYFUNCTION("IF(A216&lt;&gt;"""", 
   IF(COUNTA(SPLIT(TRIM(A216), "" ""))=1, 
      LOWER(TRIM(A216)) &amp; ""@zupee.in"", 
      LOWER(INDEX(SPLIT(TRIM(A216), "" ""), 1)) &amp; ""."" &amp; LOWER(INDEX(SPLIT(TRIM(A216), "" ""), COUNTA(SPLIT(TRIM(A216), "" "")))) &amp; ""@zupee.in""
   ), 
"&amp;"   """")"),"")</f>
        <v/>
      </c>
      <c r="C216" s="10"/>
    </row>
    <row r="217" ht="15.75" customHeight="1">
      <c r="A217" s="12"/>
      <c r="B217" s="9" t="str">
        <f>IFERROR(__xludf.DUMMYFUNCTION("IF(A217&lt;&gt;"""", 
   IF(COUNTA(SPLIT(TRIM(A217), "" ""))=1, 
      LOWER(TRIM(A217)) &amp; ""@zupee.in"", 
      LOWER(INDEX(SPLIT(TRIM(A217), "" ""), 1)) &amp; ""."" &amp; LOWER(INDEX(SPLIT(TRIM(A217), "" ""), COUNTA(SPLIT(TRIM(A217), "" "")))) &amp; ""@zupee.in""
   ), 
"&amp;"   """")"),"")</f>
        <v/>
      </c>
      <c r="C217" s="10"/>
    </row>
    <row r="218" ht="15.75" customHeight="1">
      <c r="A218" s="12"/>
      <c r="B218" s="9" t="str">
        <f>IFERROR(__xludf.DUMMYFUNCTION("IF(A218&lt;&gt;"""", 
   IF(COUNTA(SPLIT(TRIM(A218), "" ""))=1, 
      LOWER(TRIM(A218)) &amp; ""@zupee.in"", 
      LOWER(INDEX(SPLIT(TRIM(A218), "" ""), 1)) &amp; ""."" &amp; LOWER(INDEX(SPLIT(TRIM(A218), "" ""), COUNTA(SPLIT(TRIM(A218), "" "")))) &amp; ""@zupee.in""
   ), 
"&amp;"   """")"),"")</f>
        <v/>
      </c>
      <c r="C218" s="10"/>
    </row>
    <row r="219" ht="15.75" customHeight="1">
      <c r="A219" s="12"/>
      <c r="B219" s="9" t="str">
        <f>IFERROR(__xludf.DUMMYFUNCTION("IF(A219&lt;&gt;"""", 
   IF(COUNTA(SPLIT(TRIM(A219), "" ""))=1, 
      LOWER(TRIM(A219)) &amp; ""@zupee.in"", 
      LOWER(INDEX(SPLIT(TRIM(A219), "" ""), 1)) &amp; ""."" &amp; LOWER(INDEX(SPLIT(TRIM(A219), "" ""), COUNTA(SPLIT(TRIM(A219), "" "")))) &amp; ""@zupee.in""
   ), 
"&amp;"   """")"),"")</f>
        <v/>
      </c>
      <c r="C219" s="10"/>
    </row>
    <row r="220" ht="15.75" customHeight="1">
      <c r="A220" s="12"/>
      <c r="B220" s="9" t="str">
        <f>IFERROR(__xludf.DUMMYFUNCTION("IF(A220&lt;&gt;"""", 
   IF(COUNTA(SPLIT(TRIM(A220), "" ""))=1, 
      LOWER(TRIM(A220)) &amp; ""@zupee.in"", 
      LOWER(INDEX(SPLIT(TRIM(A220), "" ""), 1)) &amp; ""."" &amp; LOWER(INDEX(SPLIT(TRIM(A220), "" ""), COUNTA(SPLIT(TRIM(A220), "" "")))) &amp; ""@zupee.in""
   ), 
"&amp;"   """")"),"")</f>
        <v/>
      </c>
      <c r="C220" s="10"/>
    </row>
    <row r="221" ht="15.75" customHeight="1">
      <c r="A221" s="12"/>
      <c r="B221" s="9" t="str">
        <f>IFERROR(__xludf.DUMMYFUNCTION("IF(A221&lt;&gt;"""", 
   IF(COUNTA(SPLIT(TRIM(A221), "" ""))=1, 
      LOWER(TRIM(A221)) &amp; ""@zupee.in"", 
      LOWER(INDEX(SPLIT(TRIM(A221), "" ""), 1)) &amp; ""."" &amp; LOWER(INDEX(SPLIT(TRIM(A221), "" ""), COUNTA(SPLIT(TRIM(A221), "" "")))) &amp; ""@zupee.in""
   ), 
"&amp;"   """")"),"")</f>
        <v/>
      </c>
      <c r="C221" s="10"/>
    </row>
    <row r="222" ht="15.75" customHeight="1">
      <c r="A222" s="12"/>
      <c r="B222" s="9" t="str">
        <f>IFERROR(__xludf.DUMMYFUNCTION("IF(A222&lt;&gt;"""", 
   IF(COUNTA(SPLIT(TRIM(A222), "" ""))=1, 
      LOWER(TRIM(A222)) &amp; ""@zupee.in"", 
      LOWER(INDEX(SPLIT(TRIM(A222), "" ""), 1)) &amp; ""."" &amp; LOWER(INDEX(SPLIT(TRIM(A222), "" ""), COUNTA(SPLIT(TRIM(A222), "" "")))) &amp; ""@zupee.in""
   ), 
"&amp;"   """")"),"")</f>
        <v/>
      </c>
      <c r="C222" s="10"/>
    </row>
    <row r="223" ht="15.75" customHeight="1">
      <c r="A223" s="12"/>
      <c r="B223" s="9" t="str">
        <f>IFERROR(__xludf.DUMMYFUNCTION("IF(A223&lt;&gt;"""", 
   IF(COUNTA(SPLIT(TRIM(A223), "" ""))=1, 
      LOWER(TRIM(A223)) &amp; ""@zupee.in"", 
      LOWER(INDEX(SPLIT(TRIM(A223), "" ""), 1)) &amp; ""."" &amp; LOWER(INDEX(SPLIT(TRIM(A223), "" ""), COUNTA(SPLIT(TRIM(A223), "" "")))) &amp; ""@zupee.in""
   ), 
"&amp;"   """")"),"")</f>
        <v/>
      </c>
      <c r="C223" s="10"/>
    </row>
    <row r="224" ht="15.75" customHeight="1">
      <c r="A224" s="12"/>
      <c r="B224" s="9" t="str">
        <f>IFERROR(__xludf.DUMMYFUNCTION("IF(A224&lt;&gt;"""", 
   IF(COUNTA(SPLIT(TRIM(A224), "" ""))=1, 
      LOWER(TRIM(A224)) &amp; ""@zupee.in"", 
      LOWER(INDEX(SPLIT(TRIM(A224), "" ""), 1)) &amp; ""."" &amp; LOWER(INDEX(SPLIT(TRIM(A224), "" ""), COUNTA(SPLIT(TRIM(A224), "" "")))) &amp; ""@zupee.in""
   ), 
"&amp;"   """")"),"")</f>
        <v/>
      </c>
      <c r="C224" s="10"/>
    </row>
    <row r="225" ht="15.75" customHeight="1">
      <c r="A225" s="12"/>
      <c r="B225" s="9" t="str">
        <f>IFERROR(__xludf.DUMMYFUNCTION("IF(A225&lt;&gt;"""", 
   IF(COUNTA(SPLIT(TRIM(A225), "" ""))=1, 
      LOWER(TRIM(A225)) &amp; ""@zupee.in"", 
      LOWER(INDEX(SPLIT(TRIM(A225), "" ""), 1)) &amp; ""."" &amp; LOWER(INDEX(SPLIT(TRIM(A225), "" ""), COUNTA(SPLIT(TRIM(A225), "" "")))) &amp; ""@zupee.in""
   ), 
"&amp;"   """")"),"")</f>
        <v/>
      </c>
      <c r="C225" s="10"/>
    </row>
    <row r="226" ht="15.75" customHeight="1">
      <c r="A226" s="12"/>
      <c r="B226" s="9" t="str">
        <f>IFERROR(__xludf.DUMMYFUNCTION("IF(A226&lt;&gt;"""", 
   IF(COUNTA(SPLIT(TRIM(A226), "" ""))=1, 
      LOWER(TRIM(A226)) &amp; ""@zupee.in"", 
      LOWER(INDEX(SPLIT(TRIM(A226), "" ""), 1)) &amp; ""."" &amp; LOWER(INDEX(SPLIT(TRIM(A226), "" ""), COUNTA(SPLIT(TRIM(A226), "" "")))) &amp; ""@zupee.in""
   ), 
"&amp;"   """")"),"")</f>
        <v/>
      </c>
      <c r="C226" s="10"/>
    </row>
    <row r="227" ht="15.75" customHeight="1">
      <c r="A227" s="12"/>
      <c r="B227" s="9" t="str">
        <f>IFERROR(__xludf.DUMMYFUNCTION("IF(A227&lt;&gt;"""", 
   IF(COUNTA(SPLIT(TRIM(A227), "" ""))=1, 
      LOWER(TRIM(A227)) &amp; ""@zupee.in"", 
      LOWER(INDEX(SPLIT(TRIM(A227), "" ""), 1)) &amp; ""."" &amp; LOWER(INDEX(SPLIT(TRIM(A227), "" ""), COUNTA(SPLIT(TRIM(A227), "" "")))) &amp; ""@zupee.in""
   ), 
"&amp;"   """")"),"")</f>
        <v/>
      </c>
      <c r="C227" s="10"/>
    </row>
    <row r="228" ht="15.75" customHeight="1">
      <c r="A228" s="12"/>
      <c r="B228" s="9" t="str">
        <f>IFERROR(__xludf.DUMMYFUNCTION("IF(A228&lt;&gt;"""", 
   IF(COUNTA(SPLIT(TRIM(A228), "" ""))=1, 
      LOWER(TRIM(A228)) &amp; ""@zupee.in"", 
      LOWER(INDEX(SPLIT(TRIM(A228), "" ""), 1)) &amp; ""."" &amp; LOWER(INDEX(SPLIT(TRIM(A228), "" ""), COUNTA(SPLIT(TRIM(A228), "" "")))) &amp; ""@zupee.in""
   ), 
"&amp;"   """")"),"")</f>
        <v/>
      </c>
      <c r="C228" s="10"/>
    </row>
    <row r="229" ht="15.75" customHeight="1">
      <c r="A229" s="12"/>
      <c r="B229" s="9" t="str">
        <f>IFERROR(__xludf.DUMMYFUNCTION("IF(A229&lt;&gt;"""", 
   IF(COUNTA(SPLIT(TRIM(A229), "" ""))=1, 
      LOWER(TRIM(A229)) &amp; ""@zupee.in"", 
      LOWER(INDEX(SPLIT(TRIM(A229), "" ""), 1)) &amp; ""."" &amp; LOWER(INDEX(SPLIT(TRIM(A229), "" ""), COUNTA(SPLIT(TRIM(A229), "" "")))) &amp; ""@zupee.in""
   ), 
"&amp;"   """")"),"")</f>
        <v/>
      </c>
      <c r="C229" s="10"/>
    </row>
    <row r="230" ht="15.75" customHeight="1">
      <c r="A230" s="12"/>
      <c r="B230" s="9" t="str">
        <f>IFERROR(__xludf.DUMMYFUNCTION("IF(A230&lt;&gt;"""", 
   IF(COUNTA(SPLIT(TRIM(A230), "" ""))=1, 
      LOWER(TRIM(A230)) &amp; ""@zupee.in"", 
      LOWER(INDEX(SPLIT(TRIM(A230), "" ""), 1)) &amp; ""."" &amp; LOWER(INDEX(SPLIT(TRIM(A230), "" ""), COUNTA(SPLIT(TRIM(A230), "" "")))) &amp; ""@zupee.in""
   ), 
"&amp;"   """")"),"")</f>
        <v/>
      </c>
      <c r="C230" s="10"/>
    </row>
    <row r="231" ht="15.75" customHeight="1">
      <c r="A231" s="12"/>
      <c r="B231" s="9" t="str">
        <f>IFERROR(__xludf.DUMMYFUNCTION("IF(A231&lt;&gt;"""", 
   IF(COUNTA(SPLIT(TRIM(A231), "" ""))=1, 
      LOWER(TRIM(A231)) &amp; ""@zupee.in"", 
      LOWER(INDEX(SPLIT(TRIM(A231), "" ""), 1)) &amp; ""."" &amp; LOWER(INDEX(SPLIT(TRIM(A231), "" ""), COUNTA(SPLIT(TRIM(A231), "" "")))) &amp; ""@zupee.in""
   ), 
"&amp;"   """")"),"")</f>
        <v/>
      </c>
      <c r="C231" s="10"/>
    </row>
    <row r="232" ht="15.75" customHeight="1">
      <c r="A232" s="12"/>
      <c r="B232" s="9" t="str">
        <f>IFERROR(__xludf.DUMMYFUNCTION("IF(A232&lt;&gt;"""", 
   IF(COUNTA(SPLIT(TRIM(A232), "" ""))=1, 
      LOWER(TRIM(A232)) &amp; ""@zupee.in"", 
      LOWER(INDEX(SPLIT(TRIM(A232), "" ""), 1)) &amp; ""."" &amp; LOWER(INDEX(SPLIT(TRIM(A232), "" ""), COUNTA(SPLIT(TRIM(A232), "" "")))) &amp; ""@zupee.in""
   ), 
"&amp;"   """")"),"")</f>
        <v/>
      </c>
      <c r="C232" s="10"/>
    </row>
    <row r="233" ht="15.75" customHeight="1">
      <c r="A233" s="12"/>
      <c r="B233" s="9" t="str">
        <f>IFERROR(__xludf.DUMMYFUNCTION("IF(A233&lt;&gt;"""", 
   IF(COUNTA(SPLIT(TRIM(A233), "" ""))=1, 
      LOWER(TRIM(A233)) &amp; ""@zupee.in"", 
      LOWER(INDEX(SPLIT(TRIM(A233), "" ""), 1)) &amp; ""."" &amp; LOWER(INDEX(SPLIT(TRIM(A233), "" ""), COUNTA(SPLIT(TRIM(A233), "" "")))) &amp; ""@zupee.in""
   ), 
"&amp;"   """")"),"")</f>
        <v/>
      </c>
      <c r="C233" s="10"/>
    </row>
    <row r="234" ht="15.75" customHeight="1">
      <c r="A234" s="12"/>
      <c r="B234" s="9" t="str">
        <f>IFERROR(__xludf.DUMMYFUNCTION("IF(A234&lt;&gt;"""", 
   IF(COUNTA(SPLIT(TRIM(A234), "" ""))=1, 
      LOWER(TRIM(A234)) &amp; ""@zupee.in"", 
      LOWER(INDEX(SPLIT(TRIM(A234), "" ""), 1)) &amp; ""."" &amp; LOWER(INDEX(SPLIT(TRIM(A234), "" ""), COUNTA(SPLIT(TRIM(A234), "" "")))) &amp; ""@zupee.in""
   ), 
"&amp;"   """")"),"")</f>
        <v/>
      </c>
      <c r="C234" s="10"/>
    </row>
    <row r="235" ht="15.75" customHeight="1">
      <c r="A235" s="12"/>
      <c r="B235" s="9" t="str">
        <f>IFERROR(__xludf.DUMMYFUNCTION("IF(A235&lt;&gt;"""", 
   IF(COUNTA(SPLIT(TRIM(A235), "" ""))=1, 
      LOWER(TRIM(A235)) &amp; ""@zupee.in"", 
      LOWER(INDEX(SPLIT(TRIM(A235), "" ""), 1)) &amp; ""."" &amp; LOWER(INDEX(SPLIT(TRIM(A235), "" ""), COUNTA(SPLIT(TRIM(A235), "" "")))) &amp; ""@zupee.in""
   ), 
"&amp;"   """")"),"")</f>
        <v/>
      </c>
      <c r="C235" s="10"/>
    </row>
    <row r="236" ht="15.75" customHeight="1">
      <c r="A236" s="12"/>
      <c r="B236" s="9" t="str">
        <f>IFERROR(__xludf.DUMMYFUNCTION("IF(A236&lt;&gt;"""", 
   IF(COUNTA(SPLIT(TRIM(A236), "" ""))=1, 
      LOWER(TRIM(A236)) &amp; ""@zupee.in"", 
      LOWER(INDEX(SPLIT(TRIM(A236), "" ""), 1)) &amp; ""."" &amp; LOWER(INDEX(SPLIT(TRIM(A236), "" ""), COUNTA(SPLIT(TRIM(A236), "" "")))) &amp; ""@zupee.in""
   ), 
"&amp;"   """")"),"")</f>
        <v/>
      </c>
      <c r="C236" s="10"/>
    </row>
    <row r="237" ht="15.75" customHeight="1">
      <c r="A237" s="12"/>
      <c r="B237" s="9" t="str">
        <f>IFERROR(__xludf.DUMMYFUNCTION("IF(A237&lt;&gt;"""", 
   IF(COUNTA(SPLIT(TRIM(A237), "" ""))=1, 
      LOWER(TRIM(A237)) &amp; ""@zupee.in"", 
      LOWER(INDEX(SPLIT(TRIM(A237), "" ""), 1)) &amp; ""."" &amp; LOWER(INDEX(SPLIT(TRIM(A237), "" ""), COUNTA(SPLIT(TRIM(A237), "" "")))) &amp; ""@zupee.in""
   ), 
"&amp;"   """")"),"")</f>
        <v/>
      </c>
      <c r="C237" s="10"/>
    </row>
    <row r="238" ht="15.75" customHeight="1">
      <c r="A238" s="12"/>
      <c r="B238" s="9" t="str">
        <f>IFERROR(__xludf.DUMMYFUNCTION("IF(A238&lt;&gt;"""", 
   IF(COUNTA(SPLIT(TRIM(A238), "" ""))=1, 
      LOWER(TRIM(A238)) &amp; ""@zupee.in"", 
      LOWER(INDEX(SPLIT(TRIM(A238), "" ""), 1)) &amp; ""."" &amp; LOWER(INDEX(SPLIT(TRIM(A238), "" ""), COUNTA(SPLIT(TRIM(A238), "" "")))) &amp; ""@zupee.in""
   ), 
"&amp;"   """")"),"")</f>
        <v/>
      </c>
      <c r="C238" s="10"/>
    </row>
    <row r="239" ht="15.75" customHeight="1">
      <c r="A239" s="12"/>
      <c r="B239" s="9" t="str">
        <f>IFERROR(__xludf.DUMMYFUNCTION("IF(A239&lt;&gt;"""", 
   IF(COUNTA(SPLIT(TRIM(A239), "" ""))=1, 
      LOWER(TRIM(A239)) &amp; ""@zupee.in"", 
      LOWER(INDEX(SPLIT(TRIM(A239), "" ""), 1)) &amp; ""."" &amp; LOWER(INDEX(SPLIT(TRIM(A239), "" ""), COUNTA(SPLIT(TRIM(A239), "" "")))) &amp; ""@zupee.in""
   ), 
"&amp;"   """")"),"")</f>
        <v/>
      </c>
      <c r="C239" s="10"/>
    </row>
    <row r="240" ht="15.75" customHeight="1">
      <c r="A240" s="12"/>
      <c r="B240" s="9" t="str">
        <f>IFERROR(__xludf.DUMMYFUNCTION("IF(A240&lt;&gt;"""", 
   IF(COUNTA(SPLIT(TRIM(A240), "" ""))=1, 
      LOWER(TRIM(A240)) &amp; ""@zupee.in"", 
      LOWER(INDEX(SPLIT(TRIM(A240), "" ""), 1)) &amp; ""."" &amp; LOWER(INDEX(SPLIT(TRIM(A240), "" ""), COUNTA(SPLIT(TRIM(A240), "" "")))) &amp; ""@zupee.in""
   ), 
"&amp;"   """")"),"")</f>
        <v/>
      </c>
      <c r="C240" s="10"/>
    </row>
    <row r="241" ht="15.75" customHeight="1">
      <c r="A241" s="12"/>
      <c r="B241" s="9" t="str">
        <f>IFERROR(__xludf.DUMMYFUNCTION("IF(A241&lt;&gt;"""", 
   IF(COUNTA(SPLIT(TRIM(A241), "" ""))=1, 
      LOWER(TRIM(A241)) &amp; ""@zupee.in"", 
      LOWER(INDEX(SPLIT(TRIM(A241), "" ""), 1)) &amp; ""."" &amp; LOWER(INDEX(SPLIT(TRIM(A241), "" ""), COUNTA(SPLIT(TRIM(A241), "" "")))) &amp; ""@zupee.in""
   ), 
"&amp;"   """")"),"")</f>
        <v/>
      </c>
      <c r="C241" s="10"/>
    </row>
    <row r="242" ht="15.75" customHeight="1">
      <c r="A242" s="12"/>
      <c r="B242" s="9" t="str">
        <f>IFERROR(__xludf.DUMMYFUNCTION("IF(A242&lt;&gt;"""", 
   IF(COUNTA(SPLIT(TRIM(A242), "" ""))=1, 
      LOWER(TRIM(A242)) &amp; ""@zupee.in"", 
      LOWER(INDEX(SPLIT(TRIM(A242), "" ""), 1)) &amp; ""."" &amp; LOWER(INDEX(SPLIT(TRIM(A242), "" ""), COUNTA(SPLIT(TRIM(A242), "" "")))) &amp; ""@zupee.in""
   ), 
"&amp;"   """")"),"")</f>
        <v/>
      </c>
      <c r="C242" s="10"/>
    </row>
    <row r="243" ht="15.75" customHeight="1">
      <c r="A243" s="12"/>
      <c r="B243" s="9" t="str">
        <f>IFERROR(__xludf.DUMMYFUNCTION("IF(A243&lt;&gt;"""", 
   IF(COUNTA(SPLIT(TRIM(A243), "" ""))=1, 
      LOWER(TRIM(A243)) &amp; ""@zupee.in"", 
      LOWER(INDEX(SPLIT(TRIM(A243), "" ""), 1)) &amp; ""."" &amp; LOWER(INDEX(SPLIT(TRIM(A243), "" ""), COUNTA(SPLIT(TRIM(A243), "" "")))) &amp; ""@zupee.in""
   ), 
"&amp;"   """")"),"")</f>
        <v/>
      </c>
      <c r="C243" s="10"/>
    </row>
    <row r="244" ht="15.75" customHeight="1">
      <c r="A244" s="12"/>
      <c r="B244" s="9" t="str">
        <f>IFERROR(__xludf.DUMMYFUNCTION("IF(A244&lt;&gt;"""", 
   IF(COUNTA(SPLIT(TRIM(A244), "" ""))=1, 
      LOWER(TRIM(A244)) &amp; ""@zupee.in"", 
      LOWER(INDEX(SPLIT(TRIM(A244), "" ""), 1)) &amp; ""."" &amp; LOWER(INDEX(SPLIT(TRIM(A244), "" ""), COUNTA(SPLIT(TRIM(A244), "" "")))) &amp; ""@zupee.in""
   ), 
"&amp;"   """")"),"")</f>
        <v/>
      </c>
      <c r="C244" s="10"/>
    </row>
    <row r="245" ht="15.75" customHeight="1">
      <c r="A245" s="12"/>
      <c r="B245" s="9" t="str">
        <f>IFERROR(__xludf.DUMMYFUNCTION("IF(A245&lt;&gt;"""", 
   IF(COUNTA(SPLIT(TRIM(A245), "" ""))=1, 
      LOWER(TRIM(A245)) &amp; ""@zupee.in"", 
      LOWER(INDEX(SPLIT(TRIM(A245), "" ""), 1)) &amp; ""."" &amp; LOWER(INDEX(SPLIT(TRIM(A245), "" ""), COUNTA(SPLIT(TRIM(A245), "" "")))) &amp; ""@zupee.in""
   ), 
"&amp;"   """")"),"")</f>
        <v/>
      </c>
      <c r="C245" s="10"/>
    </row>
    <row r="246" ht="15.75" customHeight="1">
      <c r="A246" s="12"/>
      <c r="B246" s="9" t="str">
        <f>IFERROR(__xludf.DUMMYFUNCTION("IF(A246&lt;&gt;"""", 
   IF(COUNTA(SPLIT(TRIM(A246), "" ""))=1, 
      LOWER(TRIM(A246)) &amp; ""@zupee.in"", 
      LOWER(INDEX(SPLIT(TRIM(A246), "" ""), 1)) &amp; ""."" &amp; LOWER(INDEX(SPLIT(TRIM(A246), "" ""), COUNTA(SPLIT(TRIM(A246), "" "")))) &amp; ""@zupee.in""
   ), 
"&amp;"   """")"),"")</f>
        <v/>
      </c>
      <c r="C246" s="10"/>
    </row>
    <row r="247" ht="15.75" customHeight="1">
      <c r="A247" s="12"/>
      <c r="B247" s="9" t="str">
        <f>IFERROR(__xludf.DUMMYFUNCTION("IF(A247&lt;&gt;"""", 
   IF(COUNTA(SPLIT(TRIM(A247), "" ""))=1, 
      LOWER(TRIM(A247)) &amp; ""@zupee.in"", 
      LOWER(INDEX(SPLIT(TRIM(A247), "" ""), 1)) &amp; ""."" &amp; LOWER(INDEX(SPLIT(TRIM(A247), "" ""), COUNTA(SPLIT(TRIM(A247), "" "")))) &amp; ""@zupee.in""
   ), 
"&amp;"   """")"),"")</f>
        <v/>
      </c>
      <c r="C247" s="10"/>
    </row>
    <row r="248" ht="15.75" customHeight="1">
      <c r="A248" s="12"/>
      <c r="B248" s="9" t="str">
        <f>IFERROR(__xludf.DUMMYFUNCTION("IF(A248&lt;&gt;"""", 
   IF(COUNTA(SPLIT(TRIM(A248), "" ""))=1, 
      LOWER(TRIM(A248)) &amp; ""@zupee.in"", 
      LOWER(INDEX(SPLIT(TRIM(A248), "" ""), 1)) &amp; ""."" &amp; LOWER(INDEX(SPLIT(TRIM(A248), "" ""), COUNTA(SPLIT(TRIM(A248), "" "")))) &amp; ""@zupee.in""
   ), 
"&amp;"   """")"),"")</f>
        <v/>
      </c>
      <c r="C248" s="10"/>
    </row>
    <row r="249" ht="15.75" customHeight="1">
      <c r="A249" s="12"/>
      <c r="B249" s="9" t="str">
        <f>IFERROR(__xludf.DUMMYFUNCTION("IF(A249&lt;&gt;"""", 
   IF(COUNTA(SPLIT(TRIM(A249), "" ""))=1, 
      LOWER(TRIM(A249)) &amp; ""@zupee.in"", 
      LOWER(INDEX(SPLIT(TRIM(A249), "" ""), 1)) &amp; ""."" &amp; LOWER(INDEX(SPLIT(TRIM(A249), "" ""), COUNTA(SPLIT(TRIM(A249), "" "")))) &amp; ""@zupee.in""
   ), 
"&amp;"   """")"),"")</f>
        <v/>
      </c>
      <c r="C249" s="10"/>
    </row>
    <row r="250" ht="15.75" customHeight="1">
      <c r="A250" s="12"/>
      <c r="B250" s="9" t="str">
        <f>IFERROR(__xludf.DUMMYFUNCTION("IF(A250&lt;&gt;"""", 
   IF(COUNTA(SPLIT(TRIM(A250), "" ""))=1, 
      LOWER(TRIM(A250)) &amp; ""@zupee.in"", 
      LOWER(INDEX(SPLIT(TRIM(A250), "" ""), 1)) &amp; ""."" &amp; LOWER(INDEX(SPLIT(TRIM(A250), "" ""), COUNTA(SPLIT(TRIM(A250), "" "")))) &amp; ""@zupee.in""
   ), 
"&amp;"   """")"),"")</f>
        <v/>
      </c>
      <c r="C250" s="10"/>
    </row>
    <row r="251" ht="15.75" customHeight="1">
      <c r="A251" s="12"/>
      <c r="B251" s="9" t="str">
        <f>IFERROR(__xludf.DUMMYFUNCTION("IF(A251&lt;&gt;"""", 
   IF(COUNTA(SPLIT(TRIM(A251), "" ""))=1, 
      LOWER(TRIM(A251)) &amp; ""@zupee.in"", 
      LOWER(INDEX(SPLIT(TRIM(A251), "" ""), 1)) &amp; ""."" &amp; LOWER(INDEX(SPLIT(TRIM(A251), "" ""), COUNTA(SPLIT(TRIM(A251), "" "")))) &amp; ""@zupee.in""
   ), 
"&amp;"   """")"),"")</f>
        <v/>
      </c>
      <c r="C251" s="10"/>
    </row>
    <row r="252" ht="15.75" customHeight="1">
      <c r="A252" s="12"/>
      <c r="B252" s="9" t="str">
        <f>IFERROR(__xludf.DUMMYFUNCTION("IF(A252&lt;&gt;"""", 
   IF(COUNTA(SPLIT(TRIM(A252), "" ""))=1, 
      LOWER(TRIM(A252)) &amp; ""@zupee.in"", 
      LOWER(INDEX(SPLIT(TRIM(A252), "" ""), 1)) &amp; ""."" &amp; LOWER(INDEX(SPLIT(TRIM(A252), "" ""), COUNTA(SPLIT(TRIM(A252), "" "")))) &amp; ""@zupee.in""
   ), 
"&amp;"   """")"),"")</f>
        <v/>
      </c>
      <c r="C252" s="10"/>
    </row>
    <row r="253" ht="15.75" customHeight="1">
      <c r="A253" s="12"/>
      <c r="B253" s="9" t="str">
        <f>IFERROR(__xludf.DUMMYFUNCTION("IF(A253&lt;&gt;"""", 
   IF(COUNTA(SPLIT(TRIM(A253), "" ""))=1, 
      LOWER(TRIM(A253)) &amp; ""@zupee.in"", 
      LOWER(INDEX(SPLIT(TRIM(A253), "" ""), 1)) &amp; ""."" &amp; LOWER(INDEX(SPLIT(TRIM(A253), "" ""), COUNTA(SPLIT(TRIM(A253), "" "")))) &amp; ""@zupee.in""
   ), 
"&amp;"   """")"),"")</f>
        <v/>
      </c>
      <c r="C253" s="10"/>
    </row>
    <row r="254" ht="15.75" customHeight="1">
      <c r="A254" s="12"/>
      <c r="B254" s="9" t="str">
        <f>IFERROR(__xludf.DUMMYFUNCTION("IF(A254&lt;&gt;"""", 
   IF(COUNTA(SPLIT(TRIM(A254), "" ""))=1, 
      LOWER(TRIM(A254)) &amp; ""@zupee.in"", 
      LOWER(INDEX(SPLIT(TRIM(A254), "" ""), 1)) &amp; ""."" &amp; LOWER(INDEX(SPLIT(TRIM(A254), "" ""), COUNTA(SPLIT(TRIM(A254), "" "")))) &amp; ""@zupee.in""
   ), 
"&amp;"   """")"),"")</f>
        <v/>
      </c>
      <c r="C254" s="10"/>
    </row>
    <row r="255" ht="15.75" customHeight="1">
      <c r="A255" s="12"/>
      <c r="B255" s="9" t="str">
        <f>IFERROR(__xludf.DUMMYFUNCTION("IF(A255&lt;&gt;"""", 
   IF(COUNTA(SPLIT(TRIM(A255), "" ""))=1, 
      LOWER(TRIM(A255)) &amp; ""@zupee.in"", 
      LOWER(INDEX(SPLIT(TRIM(A255), "" ""), 1)) &amp; ""."" &amp; LOWER(INDEX(SPLIT(TRIM(A255), "" ""), COUNTA(SPLIT(TRIM(A255), "" "")))) &amp; ""@zupee.in""
   ), 
"&amp;"   """")"),"")</f>
        <v/>
      </c>
      <c r="C255" s="10"/>
    </row>
    <row r="256" ht="15.75" customHeight="1">
      <c r="A256" s="12"/>
      <c r="B256" s="9" t="str">
        <f>IFERROR(__xludf.DUMMYFUNCTION("IF(A256&lt;&gt;"""", 
   IF(COUNTA(SPLIT(TRIM(A256), "" ""))=1, 
      LOWER(TRIM(A256)) &amp; ""@zupee.in"", 
      LOWER(INDEX(SPLIT(TRIM(A256), "" ""), 1)) &amp; ""."" &amp; LOWER(INDEX(SPLIT(TRIM(A256), "" ""), COUNTA(SPLIT(TRIM(A256), "" "")))) &amp; ""@zupee.in""
   ), 
"&amp;"   """")"),"")</f>
        <v/>
      </c>
      <c r="C256" s="10"/>
    </row>
    <row r="257" ht="15.75" customHeight="1">
      <c r="A257" s="12"/>
      <c r="B257" s="9" t="str">
        <f>IFERROR(__xludf.DUMMYFUNCTION("IF(A257&lt;&gt;"""", 
   IF(COUNTA(SPLIT(TRIM(A257), "" ""))=1, 
      LOWER(TRIM(A257)) &amp; ""@zupee.in"", 
      LOWER(INDEX(SPLIT(TRIM(A257), "" ""), 1)) &amp; ""."" &amp; LOWER(INDEX(SPLIT(TRIM(A257), "" ""), COUNTA(SPLIT(TRIM(A257), "" "")))) &amp; ""@zupee.in""
   ), 
"&amp;"   """")"),"")</f>
        <v/>
      </c>
      <c r="C257" s="10"/>
    </row>
    <row r="258" ht="15.75" customHeight="1">
      <c r="A258" s="12"/>
      <c r="B258" s="9" t="str">
        <f>IFERROR(__xludf.DUMMYFUNCTION("IF(A258&lt;&gt;"""", 
   IF(COUNTA(SPLIT(TRIM(A258), "" ""))=1, 
      LOWER(TRIM(A258)) &amp; ""@zupee.in"", 
      LOWER(INDEX(SPLIT(TRIM(A258), "" ""), 1)) &amp; ""."" &amp; LOWER(INDEX(SPLIT(TRIM(A258), "" ""), COUNTA(SPLIT(TRIM(A258), "" "")))) &amp; ""@zupee.in""
   ), 
"&amp;"   """")"),"")</f>
        <v/>
      </c>
      <c r="C258" s="10"/>
    </row>
    <row r="259" ht="15.75" customHeight="1">
      <c r="A259" s="12"/>
      <c r="B259" s="9" t="str">
        <f>IFERROR(__xludf.DUMMYFUNCTION("IF(A259&lt;&gt;"""", 
   IF(COUNTA(SPLIT(TRIM(A259), "" ""))=1, 
      LOWER(TRIM(A259)) &amp; ""@zupee.in"", 
      LOWER(INDEX(SPLIT(TRIM(A259), "" ""), 1)) &amp; ""."" &amp; LOWER(INDEX(SPLIT(TRIM(A259), "" ""), COUNTA(SPLIT(TRIM(A259), "" "")))) &amp; ""@zupee.in""
   ), 
"&amp;"   """")"),"")</f>
        <v/>
      </c>
      <c r="C259" s="10"/>
    </row>
    <row r="260" ht="15.75" customHeight="1">
      <c r="A260" s="12"/>
      <c r="B260" s="9" t="str">
        <f>IFERROR(__xludf.DUMMYFUNCTION("IF(A260&lt;&gt;"""", 
   IF(COUNTA(SPLIT(TRIM(A260), "" ""))=1, 
      LOWER(TRIM(A260)) &amp; ""@zupee.in"", 
      LOWER(INDEX(SPLIT(TRIM(A260), "" ""), 1)) &amp; ""."" &amp; LOWER(INDEX(SPLIT(TRIM(A260), "" ""), COUNTA(SPLIT(TRIM(A260), "" "")))) &amp; ""@zupee.in""
   ), 
"&amp;"   """")"),"")</f>
        <v/>
      </c>
      <c r="C260" s="10"/>
    </row>
    <row r="261" ht="15.75" customHeight="1">
      <c r="A261" s="12"/>
      <c r="B261" s="9" t="str">
        <f>IFERROR(__xludf.DUMMYFUNCTION("IF(A261&lt;&gt;"""", 
   IF(COUNTA(SPLIT(TRIM(A261), "" ""))=1, 
      LOWER(TRIM(A261)) &amp; ""@zupee.in"", 
      LOWER(INDEX(SPLIT(TRIM(A261), "" ""), 1)) &amp; ""."" &amp; LOWER(INDEX(SPLIT(TRIM(A261), "" ""), COUNTA(SPLIT(TRIM(A261), "" "")))) &amp; ""@zupee.in""
   ), 
"&amp;"   """")"),"")</f>
        <v/>
      </c>
      <c r="C261" s="10"/>
    </row>
    <row r="262" ht="15.75" customHeight="1">
      <c r="A262" s="12"/>
      <c r="B262" s="9" t="str">
        <f>IFERROR(__xludf.DUMMYFUNCTION("IF(A262&lt;&gt;"""", 
   IF(COUNTA(SPLIT(TRIM(A262), "" ""))=1, 
      LOWER(TRIM(A262)) &amp; ""@zupee.in"", 
      LOWER(INDEX(SPLIT(TRIM(A262), "" ""), 1)) &amp; ""."" &amp; LOWER(INDEX(SPLIT(TRIM(A262), "" ""), COUNTA(SPLIT(TRIM(A262), "" "")))) &amp; ""@zupee.in""
   ), 
"&amp;"   """")"),"")</f>
        <v/>
      </c>
      <c r="C262" s="10"/>
    </row>
    <row r="263" ht="15.75" customHeight="1">
      <c r="A263" s="12"/>
      <c r="B263" s="9" t="str">
        <f>IFERROR(__xludf.DUMMYFUNCTION("IF(A263&lt;&gt;"""", 
   IF(COUNTA(SPLIT(TRIM(A263), "" ""))=1, 
      LOWER(TRIM(A263)) &amp; ""@zupee.in"", 
      LOWER(INDEX(SPLIT(TRIM(A263), "" ""), 1)) &amp; ""."" &amp; LOWER(INDEX(SPLIT(TRIM(A263), "" ""), COUNTA(SPLIT(TRIM(A263), "" "")))) &amp; ""@zupee.in""
   ), 
"&amp;"   """")"),"")</f>
        <v/>
      </c>
      <c r="C263" s="10"/>
    </row>
    <row r="264" ht="15.75" customHeight="1">
      <c r="A264" s="12"/>
      <c r="B264" s="9" t="str">
        <f>IFERROR(__xludf.DUMMYFUNCTION("IF(A264&lt;&gt;"""", 
   IF(COUNTA(SPLIT(TRIM(A264), "" ""))=1, 
      LOWER(TRIM(A264)) &amp; ""@zupee.in"", 
      LOWER(INDEX(SPLIT(TRIM(A264), "" ""), 1)) &amp; ""."" &amp; LOWER(INDEX(SPLIT(TRIM(A264), "" ""), COUNTA(SPLIT(TRIM(A264), "" "")))) &amp; ""@zupee.in""
   ), 
"&amp;"   """")"),"")</f>
        <v/>
      </c>
      <c r="C264" s="10"/>
    </row>
    <row r="265" ht="15.75" customHeight="1">
      <c r="A265" s="12"/>
      <c r="B265" s="9" t="str">
        <f>IFERROR(__xludf.DUMMYFUNCTION("IF(A265&lt;&gt;"""", 
   IF(COUNTA(SPLIT(TRIM(A265), "" ""))=1, 
      LOWER(TRIM(A265)) &amp; ""@zupee.in"", 
      LOWER(INDEX(SPLIT(TRIM(A265), "" ""), 1)) &amp; ""."" &amp; LOWER(INDEX(SPLIT(TRIM(A265), "" ""), COUNTA(SPLIT(TRIM(A265), "" "")))) &amp; ""@zupee.in""
   ), 
"&amp;"   """")"),"")</f>
        <v/>
      </c>
      <c r="C265" s="10"/>
    </row>
    <row r="266" ht="15.75" customHeight="1">
      <c r="A266" s="12"/>
      <c r="B266" s="9" t="str">
        <f>IFERROR(__xludf.DUMMYFUNCTION("IF(A266&lt;&gt;"""", 
   IF(COUNTA(SPLIT(TRIM(A266), "" ""))=1, 
      LOWER(TRIM(A266)) &amp; ""@zupee.in"", 
      LOWER(INDEX(SPLIT(TRIM(A266), "" ""), 1)) &amp; ""."" &amp; LOWER(INDEX(SPLIT(TRIM(A266), "" ""), COUNTA(SPLIT(TRIM(A266), "" "")))) &amp; ""@zupee.in""
   ), 
"&amp;"   """")"),"")</f>
        <v/>
      </c>
      <c r="C266" s="10"/>
    </row>
    <row r="267" ht="15.75" customHeight="1">
      <c r="A267" s="12"/>
      <c r="B267" s="9" t="str">
        <f>IFERROR(__xludf.DUMMYFUNCTION("IF(A267&lt;&gt;"""", 
   IF(COUNTA(SPLIT(TRIM(A267), "" ""))=1, 
      LOWER(TRIM(A267)) &amp; ""@zupee.in"", 
      LOWER(INDEX(SPLIT(TRIM(A267), "" ""), 1)) &amp; ""."" &amp; LOWER(INDEX(SPLIT(TRIM(A267), "" ""), COUNTA(SPLIT(TRIM(A267), "" "")))) &amp; ""@zupee.in""
   ), 
"&amp;"   """")"),"")</f>
        <v/>
      </c>
      <c r="C267" s="10"/>
    </row>
    <row r="268" ht="15.75" customHeight="1">
      <c r="A268" s="12"/>
      <c r="B268" s="9" t="str">
        <f>IFERROR(__xludf.DUMMYFUNCTION("IF(A268&lt;&gt;"""", 
   IF(COUNTA(SPLIT(TRIM(A268), "" ""))=1, 
      LOWER(TRIM(A268)) &amp; ""@zupee.in"", 
      LOWER(INDEX(SPLIT(TRIM(A268), "" ""), 1)) &amp; ""."" &amp; LOWER(INDEX(SPLIT(TRIM(A268), "" ""), COUNTA(SPLIT(TRIM(A268), "" "")))) &amp; ""@zupee.in""
   ), 
"&amp;"   """")"),"")</f>
        <v/>
      </c>
      <c r="C268" s="10"/>
    </row>
    <row r="269" ht="15.75" customHeight="1">
      <c r="A269" s="12"/>
      <c r="B269" s="9" t="str">
        <f>IFERROR(__xludf.DUMMYFUNCTION("IF(A269&lt;&gt;"""", 
   IF(COUNTA(SPLIT(TRIM(A269), "" ""))=1, 
      LOWER(TRIM(A269)) &amp; ""@zupee.in"", 
      LOWER(INDEX(SPLIT(TRIM(A269), "" ""), 1)) &amp; ""."" &amp; LOWER(INDEX(SPLIT(TRIM(A269), "" ""), COUNTA(SPLIT(TRIM(A269), "" "")))) &amp; ""@zupee.in""
   ), 
"&amp;"   """")"),"")</f>
        <v/>
      </c>
      <c r="C269" s="10"/>
    </row>
    <row r="270" ht="15.75" customHeight="1">
      <c r="A270" s="12"/>
      <c r="B270" s="9" t="str">
        <f>IFERROR(__xludf.DUMMYFUNCTION("IF(A270&lt;&gt;"""", 
   IF(COUNTA(SPLIT(TRIM(A270), "" ""))=1, 
      LOWER(TRIM(A270)) &amp; ""@zupee.in"", 
      LOWER(INDEX(SPLIT(TRIM(A270), "" ""), 1)) &amp; ""."" &amp; LOWER(INDEX(SPLIT(TRIM(A270), "" ""), COUNTA(SPLIT(TRIM(A270), "" "")))) &amp; ""@zupee.in""
   ), 
"&amp;"   """")"),"")</f>
        <v/>
      </c>
      <c r="C270" s="10"/>
    </row>
    <row r="271" ht="15.75" customHeight="1">
      <c r="A271" s="12"/>
      <c r="B271" s="9" t="str">
        <f>IFERROR(__xludf.DUMMYFUNCTION("IF(A271&lt;&gt;"""", 
   IF(COUNTA(SPLIT(TRIM(A271), "" ""))=1, 
      LOWER(TRIM(A271)) &amp; ""@zupee.in"", 
      LOWER(INDEX(SPLIT(TRIM(A271), "" ""), 1)) &amp; ""."" &amp; LOWER(INDEX(SPLIT(TRIM(A271), "" ""), COUNTA(SPLIT(TRIM(A271), "" "")))) &amp; ""@zupee.in""
   ), 
"&amp;"   """")"),"")</f>
        <v/>
      </c>
      <c r="C271" s="10"/>
    </row>
    <row r="272" ht="15.75" customHeight="1">
      <c r="A272" s="12"/>
      <c r="B272" s="9" t="str">
        <f>IFERROR(__xludf.DUMMYFUNCTION("IF(A272&lt;&gt;"""", 
   IF(COUNTA(SPLIT(TRIM(A272), "" ""))=1, 
      LOWER(TRIM(A272)) &amp; ""@zupee.in"", 
      LOWER(INDEX(SPLIT(TRIM(A272), "" ""), 1)) &amp; ""."" &amp; LOWER(INDEX(SPLIT(TRIM(A272), "" ""), COUNTA(SPLIT(TRIM(A272), "" "")))) &amp; ""@zupee.in""
   ), 
"&amp;"   """")"),"")</f>
        <v/>
      </c>
      <c r="C272" s="10"/>
    </row>
    <row r="273" ht="15.75" customHeight="1">
      <c r="A273" s="12"/>
      <c r="B273" s="9" t="str">
        <f>IFERROR(__xludf.DUMMYFUNCTION("IF(A273&lt;&gt;"""", 
   IF(COUNTA(SPLIT(TRIM(A273), "" ""))=1, 
      LOWER(TRIM(A273)) &amp; ""@zupee.in"", 
      LOWER(INDEX(SPLIT(TRIM(A273), "" ""), 1)) &amp; ""."" &amp; LOWER(INDEX(SPLIT(TRIM(A273), "" ""), COUNTA(SPLIT(TRIM(A273), "" "")))) &amp; ""@zupee.in""
   ), 
"&amp;"   """")"),"")</f>
        <v/>
      </c>
      <c r="C273" s="10"/>
    </row>
    <row r="274" ht="15.75" customHeight="1">
      <c r="A274" s="12"/>
      <c r="B274" s="9" t="str">
        <f>IFERROR(__xludf.DUMMYFUNCTION("IF(A274&lt;&gt;"""", 
   IF(COUNTA(SPLIT(TRIM(A274), "" ""))=1, 
      LOWER(TRIM(A274)) &amp; ""@zupee.in"", 
      LOWER(INDEX(SPLIT(TRIM(A274), "" ""), 1)) &amp; ""."" &amp; LOWER(INDEX(SPLIT(TRIM(A274), "" ""), COUNTA(SPLIT(TRIM(A274), "" "")))) &amp; ""@zupee.in""
   ), 
"&amp;"   """")"),"")</f>
        <v/>
      </c>
      <c r="C274" s="10"/>
    </row>
    <row r="275" ht="15.75" customHeight="1">
      <c r="A275" s="12"/>
      <c r="B275" s="9" t="str">
        <f>IFERROR(__xludf.DUMMYFUNCTION("IF(A275&lt;&gt;"""", 
   IF(COUNTA(SPLIT(TRIM(A275), "" ""))=1, 
      LOWER(TRIM(A275)) &amp; ""@zupee.in"", 
      LOWER(INDEX(SPLIT(TRIM(A275), "" ""), 1)) &amp; ""."" &amp; LOWER(INDEX(SPLIT(TRIM(A275), "" ""), COUNTA(SPLIT(TRIM(A275), "" "")))) &amp; ""@zupee.in""
   ), 
"&amp;"   """")"),"")</f>
        <v/>
      </c>
      <c r="C275" s="10"/>
    </row>
    <row r="276" ht="15.75" customHeight="1">
      <c r="A276" s="12"/>
      <c r="B276" s="9" t="str">
        <f>IFERROR(__xludf.DUMMYFUNCTION("IF(A276&lt;&gt;"""", 
   IF(COUNTA(SPLIT(TRIM(A276), "" ""))=1, 
      LOWER(TRIM(A276)) &amp; ""@zupee.in"", 
      LOWER(INDEX(SPLIT(TRIM(A276), "" ""), 1)) &amp; ""."" &amp; LOWER(INDEX(SPLIT(TRIM(A276), "" ""), COUNTA(SPLIT(TRIM(A276), "" "")))) &amp; ""@zupee.in""
   ), 
"&amp;"   """")"),"")</f>
        <v/>
      </c>
      <c r="C276" s="10"/>
    </row>
    <row r="277" ht="15.75" customHeight="1">
      <c r="A277" s="12"/>
      <c r="B277" s="9" t="str">
        <f>IFERROR(__xludf.DUMMYFUNCTION("IF(A277&lt;&gt;"""", 
   IF(COUNTA(SPLIT(TRIM(A277), "" ""))=1, 
      LOWER(TRIM(A277)) &amp; ""@zupee.in"", 
      LOWER(INDEX(SPLIT(TRIM(A277), "" ""), 1)) &amp; ""."" &amp; LOWER(INDEX(SPLIT(TRIM(A277), "" ""), COUNTA(SPLIT(TRIM(A277), "" "")))) &amp; ""@zupee.in""
   ), 
"&amp;"   """")"),"")</f>
        <v/>
      </c>
      <c r="C277" s="10"/>
    </row>
    <row r="278" ht="15.75" customHeight="1">
      <c r="A278" s="12"/>
      <c r="B278" s="9" t="str">
        <f>IFERROR(__xludf.DUMMYFUNCTION("IF(A278&lt;&gt;"""", 
   IF(COUNTA(SPLIT(TRIM(A278), "" ""))=1, 
      LOWER(TRIM(A278)) &amp; ""@zupee.in"", 
      LOWER(INDEX(SPLIT(TRIM(A278), "" ""), 1)) &amp; ""."" &amp; LOWER(INDEX(SPLIT(TRIM(A278), "" ""), COUNTA(SPLIT(TRIM(A278), "" "")))) &amp; ""@zupee.in""
   ), 
"&amp;"   """")"),"")</f>
        <v/>
      </c>
      <c r="C278" s="10"/>
    </row>
    <row r="279" ht="15.75" customHeight="1">
      <c r="A279" s="12"/>
      <c r="B279" s="9" t="str">
        <f>IFERROR(__xludf.DUMMYFUNCTION("IF(A279&lt;&gt;"""", 
   IF(COUNTA(SPLIT(TRIM(A279), "" ""))=1, 
      LOWER(TRIM(A279)) &amp; ""@zupee.in"", 
      LOWER(INDEX(SPLIT(TRIM(A279), "" ""), 1)) &amp; ""."" &amp; LOWER(INDEX(SPLIT(TRIM(A279), "" ""), COUNTA(SPLIT(TRIM(A279), "" "")))) &amp; ""@zupee.in""
   ), 
"&amp;"   """")"),"")</f>
        <v/>
      </c>
      <c r="C279" s="10"/>
    </row>
    <row r="280" ht="15.75" customHeight="1">
      <c r="A280" s="12"/>
      <c r="B280" s="9" t="str">
        <f>IFERROR(__xludf.DUMMYFUNCTION("IF(A280&lt;&gt;"""", 
   IF(COUNTA(SPLIT(TRIM(A280), "" ""))=1, 
      LOWER(TRIM(A280)) &amp; ""@zupee.in"", 
      LOWER(INDEX(SPLIT(TRIM(A280), "" ""), 1)) &amp; ""."" &amp; LOWER(INDEX(SPLIT(TRIM(A280), "" ""), COUNTA(SPLIT(TRIM(A280), "" "")))) &amp; ""@zupee.in""
   ), 
"&amp;"   """")"),"")</f>
        <v/>
      </c>
      <c r="C280" s="10"/>
    </row>
    <row r="281" ht="15.75" customHeight="1">
      <c r="A281" s="12"/>
      <c r="B281" s="9" t="str">
        <f>IFERROR(__xludf.DUMMYFUNCTION("IF(A281&lt;&gt;"""", 
   IF(COUNTA(SPLIT(TRIM(A281), "" ""))=1, 
      LOWER(TRIM(A281)) &amp; ""@zupee.in"", 
      LOWER(INDEX(SPLIT(TRIM(A281), "" ""), 1)) &amp; ""."" &amp; LOWER(INDEX(SPLIT(TRIM(A281), "" ""), COUNTA(SPLIT(TRIM(A281), "" "")))) &amp; ""@zupee.in""
   ), 
"&amp;"   """")"),"")</f>
        <v/>
      </c>
      <c r="C281" s="10"/>
    </row>
    <row r="282" ht="15.75" customHeight="1">
      <c r="A282" s="12"/>
      <c r="B282" s="9" t="str">
        <f>IFERROR(__xludf.DUMMYFUNCTION("IF(A282&lt;&gt;"""", 
   IF(COUNTA(SPLIT(TRIM(A282), "" ""))=1, 
      LOWER(TRIM(A282)) &amp; ""@zupee.in"", 
      LOWER(INDEX(SPLIT(TRIM(A282), "" ""), 1)) &amp; ""."" &amp; LOWER(INDEX(SPLIT(TRIM(A282), "" ""), COUNTA(SPLIT(TRIM(A282), "" "")))) &amp; ""@zupee.in""
   ), 
"&amp;"   """")"),"")</f>
        <v/>
      </c>
      <c r="C282" s="10"/>
    </row>
    <row r="283" ht="15.75" customHeight="1">
      <c r="A283" s="12"/>
      <c r="B283" s="9" t="str">
        <f>IFERROR(__xludf.DUMMYFUNCTION("IF(A283&lt;&gt;"""", 
   IF(COUNTA(SPLIT(TRIM(A283), "" ""))=1, 
      LOWER(TRIM(A283)) &amp; ""@zupee.in"", 
      LOWER(INDEX(SPLIT(TRIM(A283), "" ""), 1)) &amp; ""."" &amp; LOWER(INDEX(SPLIT(TRIM(A283), "" ""), COUNTA(SPLIT(TRIM(A283), "" "")))) &amp; ""@zupee.in""
   ), 
"&amp;"   """")"),"")</f>
        <v/>
      </c>
      <c r="C283" s="10"/>
    </row>
    <row r="284" ht="15.75" customHeight="1">
      <c r="A284" s="12"/>
      <c r="B284" s="9" t="str">
        <f>IFERROR(__xludf.DUMMYFUNCTION("IF(A284&lt;&gt;"""", 
   IF(COUNTA(SPLIT(TRIM(A284), "" ""))=1, 
      LOWER(TRIM(A284)) &amp; ""@zupee.in"", 
      LOWER(INDEX(SPLIT(TRIM(A284), "" ""), 1)) &amp; ""."" &amp; LOWER(INDEX(SPLIT(TRIM(A284), "" ""), COUNTA(SPLIT(TRIM(A284), "" "")))) &amp; ""@zupee.in""
   ), 
"&amp;"   """")"),"")</f>
        <v/>
      </c>
      <c r="C284" s="10"/>
    </row>
    <row r="285" ht="15.75" customHeight="1">
      <c r="A285" s="12"/>
      <c r="B285" s="9" t="str">
        <f>IFERROR(__xludf.DUMMYFUNCTION("IF(A285&lt;&gt;"""", 
   IF(COUNTA(SPLIT(TRIM(A285), "" ""))=1, 
      LOWER(TRIM(A285)) &amp; ""@zupee.in"", 
      LOWER(INDEX(SPLIT(TRIM(A285), "" ""), 1)) &amp; ""."" &amp; LOWER(INDEX(SPLIT(TRIM(A285), "" ""), COUNTA(SPLIT(TRIM(A285), "" "")))) &amp; ""@zupee.in""
   ), 
"&amp;"   """")"),"")</f>
        <v/>
      </c>
      <c r="C285" s="10"/>
    </row>
    <row r="286" ht="15.75" customHeight="1">
      <c r="A286" s="12"/>
      <c r="B286" s="9" t="str">
        <f>IFERROR(__xludf.DUMMYFUNCTION("IF(A286&lt;&gt;"""", 
   IF(COUNTA(SPLIT(TRIM(A286), "" ""))=1, 
      LOWER(TRIM(A286)) &amp; ""@zupee.in"", 
      LOWER(INDEX(SPLIT(TRIM(A286), "" ""), 1)) &amp; ""."" &amp; LOWER(INDEX(SPLIT(TRIM(A286), "" ""), COUNTA(SPLIT(TRIM(A286), "" "")))) &amp; ""@zupee.in""
   ), 
"&amp;"   """")"),"")</f>
        <v/>
      </c>
      <c r="C286" s="10"/>
    </row>
    <row r="287" ht="15.75" customHeight="1">
      <c r="A287" s="12"/>
      <c r="B287" s="9" t="str">
        <f>IFERROR(__xludf.DUMMYFUNCTION("IF(A287&lt;&gt;"""", 
   IF(COUNTA(SPLIT(TRIM(A287), "" ""))=1, 
      LOWER(TRIM(A287)) &amp; ""@zupee.in"", 
      LOWER(INDEX(SPLIT(TRIM(A287), "" ""), 1)) &amp; ""."" &amp; LOWER(INDEX(SPLIT(TRIM(A287), "" ""), COUNTA(SPLIT(TRIM(A287), "" "")))) &amp; ""@zupee.in""
   ), 
"&amp;"   """")"),"")</f>
        <v/>
      </c>
      <c r="C287" s="10"/>
    </row>
    <row r="288" ht="15.75" customHeight="1">
      <c r="A288" s="12"/>
      <c r="B288" s="9" t="str">
        <f>IFERROR(__xludf.DUMMYFUNCTION("IF(A288&lt;&gt;"""", 
   IF(COUNTA(SPLIT(TRIM(A288), "" ""))=1, 
      LOWER(TRIM(A288)) &amp; ""@zupee.in"", 
      LOWER(INDEX(SPLIT(TRIM(A288), "" ""), 1)) &amp; ""."" &amp; LOWER(INDEX(SPLIT(TRIM(A288), "" ""), COUNTA(SPLIT(TRIM(A288), "" "")))) &amp; ""@zupee.in""
   ), 
"&amp;"   """")"),"")</f>
        <v/>
      </c>
      <c r="C288" s="10"/>
    </row>
    <row r="289" ht="15.75" customHeight="1">
      <c r="A289" s="12"/>
      <c r="B289" s="9" t="str">
        <f>IFERROR(__xludf.DUMMYFUNCTION("IF(A289&lt;&gt;"""", 
   IF(COUNTA(SPLIT(TRIM(A289), "" ""))=1, 
      LOWER(TRIM(A289)) &amp; ""@zupee.in"", 
      LOWER(INDEX(SPLIT(TRIM(A289), "" ""), 1)) &amp; ""."" &amp; LOWER(INDEX(SPLIT(TRIM(A289), "" ""), COUNTA(SPLIT(TRIM(A289), "" "")))) &amp; ""@zupee.in""
   ), 
"&amp;"   """")"),"")</f>
        <v/>
      </c>
      <c r="C289" s="10"/>
    </row>
    <row r="290" ht="15.75" customHeight="1">
      <c r="A290" s="12"/>
      <c r="B290" s="9" t="str">
        <f>IFERROR(__xludf.DUMMYFUNCTION("IF(A290&lt;&gt;"""", 
   IF(COUNTA(SPLIT(TRIM(A290), "" ""))=1, 
      LOWER(TRIM(A290)) &amp; ""@zupee.in"", 
      LOWER(INDEX(SPLIT(TRIM(A290), "" ""), 1)) &amp; ""."" &amp; LOWER(INDEX(SPLIT(TRIM(A290), "" ""), COUNTA(SPLIT(TRIM(A290), "" "")))) &amp; ""@zupee.in""
   ), 
"&amp;"   """")"),"")</f>
        <v/>
      </c>
      <c r="C290" s="10"/>
    </row>
    <row r="291" ht="15.75" customHeight="1">
      <c r="A291" s="12"/>
      <c r="B291" s="9" t="str">
        <f>IFERROR(__xludf.DUMMYFUNCTION("IF(A291&lt;&gt;"""", 
   IF(COUNTA(SPLIT(TRIM(A291), "" ""))=1, 
      LOWER(TRIM(A291)) &amp; ""@zupee.in"", 
      LOWER(INDEX(SPLIT(TRIM(A291), "" ""), 1)) &amp; ""."" &amp; LOWER(INDEX(SPLIT(TRIM(A291), "" ""), COUNTA(SPLIT(TRIM(A291), "" "")))) &amp; ""@zupee.in""
   ), 
"&amp;"   """")"),"")</f>
        <v/>
      </c>
      <c r="C291" s="10"/>
    </row>
    <row r="292" ht="15.75" customHeight="1">
      <c r="A292" s="12"/>
      <c r="B292" s="9" t="str">
        <f>IFERROR(__xludf.DUMMYFUNCTION("IF(A292&lt;&gt;"""", 
   IF(COUNTA(SPLIT(TRIM(A292), "" ""))=1, 
      LOWER(TRIM(A292)) &amp; ""@zupee.in"", 
      LOWER(INDEX(SPLIT(TRIM(A292), "" ""), 1)) &amp; ""."" &amp; LOWER(INDEX(SPLIT(TRIM(A292), "" ""), COUNTA(SPLIT(TRIM(A292), "" "")))) &amp; ""@zupee.in""
   ), 
"&amp;"   """")"),"")</f>
        <v/>
      </c>
      <c r="C292" s="10"/>
    </row>
    <row r="293" ht="15.75" customHeight="1">
      <c r="A293" s="12"/>
      <c r="B293" s="9" t="str">
        <f>IFERROR(__xludf.DUMMYFUNCTION("IF(A293&lt;&gt;"""", 
   IF(COUNTA(SPLIT(TRIM(A293), "" ""))=1, 
      LOWER(TRIM(A293)) &amp; ""@zupee.in"", 
      LOWER(INDEX(SPLIT(TRIM(A293), "" ""), 1)) &amp; ""."" &amp; LOWER(INDEX(SPLIT(TRIM(A293), "" ""), COUNTA(SPLIT(TRIM(A293), "" "")))) &amp; ""@zupee.in""
   ), 
"&amp;"   """")"),"")</f>
        <v/>
      </c>
      <c r="C293" s="10"/>
    </row>
    <row r="294" ht="15.75" customHeight="1">
      <c r="A294" s="12"/>
      <c r="B294" s="9" t="str">
        <f>IFERROR(__xludf.DUMMYFUNCTION("IF(A294&lt;&gt;"""", 
   IF(COUNTA(SPLIT(TRIM(A294), "" ""))=1, 
      LOWER(TRIM(A294)) &amp; ""@zupee.in"", 
      LOWER(INDEX(SPLIT(TRIM(A294), "" ""), 1)) &amp; ""."" &amp; LOWER(INDEX(SPLIT(TRIM(A294), "" ""), COUNTA(SPLIT(TRIM(A294), "" "")))) &amp; ""@zupee.in""
   ), 
"&amp;"   """")"),"")</f>
        <v/>
      </c>
      <c r="C294" s="10"/>
    </row>
    <row r="295" ht="15.75" customHeight="1">
      <c r="A295" s="12"/>
      <c r="B295" s="9" t="str">
        <f>IFERROR(__xludf.DUMMYFUNCTION("IF(A295&lt;&gt;"""", 
   IF(COUNTA(SPLIT(TRIM(A295), "" ""))=1, 
      LOWER(TRIM(A295)) &amp; ""@zupee.in"", 
      LOWER(INDEX(SPLIT(TRIM(A295), "" ""), 1)) &amp; ""."" &amp; LOWER(INDEX(SPLIT(TRIM(A295), "" ""), COUNTA(SPLIT(TRIM(A295), "" "")))) &amp; ""@zupee.in""
   ), 
"&amp;"   """")"),"")</f>
        <v/>
      </c>
      <c r="C295" s="10"/>
    </row>
    <row r="296" ht="15.75" customHeight="1">
      <c r="A296" s="12"/>
      <c r="B296" s="9" t="str">
        <f>IFERROR(__xludf.DUMMYFUNCTION("IF(A296&lt;&gt;"""", 
   IF(COUNTA(SPLIT(TRIM(A296), "" ""))=1, 
      LOWER(TRIM(A296)) &amp; ""@zupee.in"", 
      LOWER(INDEX(SPLIT(TRIM(A296), "" ""), 1)) &amp; ""."" &amp; LOWER(INDEX(SPLIT(TRIM(A296), "" ""), COUNTA(SPLIT(TRIM(A296), "" "")))) &amp; ""@zupee.in""
   ), 
"&amp;"   """")"),"")</f>
        <v/>
      </c>
      <c r="C296" s="10"/>
    </row>
    <row r="297" ht="15.75" customHeight="1">
      <c r="A297" s="12"/>
      <c r="B297" s="9" t="str">
        <f>IFERROR(__xludf.DUMMYFUNCTION("IF(A297&lt;&gt;"""", 
   IF(COUNTA(SPLIT(TRIM(A297), "" ""))=1, 
      LOWER(TRIM(A297)) &amp; ""@zupee.in"", 
      LOWER(INDEX(SPLIT(TRIM(A297), "" ""), 1)) &amp; ""."" &amp; LOWER(INDEX(SPLIT(TRIM(A297), "" ""), COUNTA(SPLIT(TRIM(A297), "" "")))) &amp; ""@zupee.in""
   ), 
"&amp;"   """")"),"")</f>
        <v/>
      </c>
      <c r="C297" s="10"/>
    </row>
    <row r="298" ht="15.75" customHeight="1">
      <c r="A298" s="12"/>
      <c r="B298" s="9" t="str">
        <f>IFERROR(__xludf.DUMMYFUNCTION("IF(A298&lt;&gt;"""", 
   IF(COUNTA(SPLIT(TRIM(A298), "" ""))=1, 
      LOWER(TRIM(A298)) &amp; ""@zupee.in"", 
      LOWER(INDEX(SPLIT(TRIM(A298), "" ""), 1)) &amp; ""."" &amp; LOWER(INDEX(SPLIT(TRIM(A298), "" ""), COUNTA(SPLIT(TRIM(A298), "" "")))) &amp; ""@zupee.in""
   ), 
"&amp;"   """")"),"")</f>
        <v/>
      </c>
      <c r="C298" s="10"/>
    </row>
    <row r="299" ht="15.75" customHeight="1">
      <c r="A299" s="12"/>
      <c r="B299" s="9" t="str">
        <f>IFERROR(__xludf.DUMMYFUNCTION("IF(A299&lt;&gt;"""", 
   IF(COUNTA(SPLIT(TRIM(A299), "" ""))=1, 
      LOWER(TRIM(A299)) &amp; ""@zupee.in"", 
      LOWER(INDEX(SPLIT(TRIM(A299), "" ""), 1)) &amp; ""."" &amp; LOWER(INDEX(SPLIT(TRIM(A299), "" ""), COUNTA(SPLIT(TRIM(A299), "" "")))) &amp; ""@zupee.in""
   ), 
"&amp;"   """")"),"")</f>
        <v/>
      </c>
      <c r="C299" s="10"/>
    </row>
    <row r="300" ht="15.75" customHeight="1">
      <c r="A300" s="12"/>
      <c r="B300" s="9" t="str">
        <f>IFERROR(__xludf.DUMMYFUNCTION("IF(A300&lt;&gt;"""", 
   IF(COUNTA(SPLIT(TRIM(A300), "" ""))=1, 
      LOWER(TRIM(A300)) &amp; ""@zupee.in"", 
      LOWER(INDEX(SPLIT(TRIM(A300), "" ""), 1)) &amp; ""."" &amp; LOWER(INDEX(SPLIT(TRIM(A300), "" ""), COUNTA(SPLIT(TRIM(A300), "" "")))) &amp; ""@zupee.in""
   ), 
"&amp;"   """")"),"")</f>
        <v/>
      </c>
      <c r="C300" s="10"/>
    </row>
    <row r="301" ht="15.75" customHeight="1">
      <c r="A301" s="12"/>
      <c r="B301" s="9" t="str">
        <f>IFERROR(__xludf.DUMMYFUNCTION("IF(A301&lt;&gt;"""", 
   IF(COUNTA(SPLIT(TRIM(A301), "" ""))=1, 
      LOWER(TRIM(A301)) &amp; ""@zupee.in"", 
      LOWER(INDEX(SPLIT(TRIM(A301), "" ""), 1)) &amp; ""."" &amp; LOWER(INDEX(SPLIT(TRIM(A301), "" ""), COUNTA(SPLIT(TRIM(A301), "" "")))) &amp; ""@zupee.in""
   ), 
"&amp;"   """")"),"")</f>
        <v/>
      </c>
      <c r="C301" s="10"/>
    </row>
    <row r="302" ht="15.75" customHeight="1">
      <c r="A302" s="12"/>
      <c r="B302" s="9" t="str">
        <f>IFERROR(__xludf.DUMMYFUNCTION("IF(A302&lt;&gt;"""", 
   IF(COUNTA(SPLIT(TRIM(A302), "" ""))=1, 
      LOWER(TRIM(A302)) &amp; ""@zupee.in"", 
      LOWER(INDEX(SPLIT(TRIM(A302), "" ""), 1)) &amp; ""."" &amp; LOWER(INDEX(SPLIT(TRIM(A302), "" ""), COUNTA(SPLIT(TRIM(A302), "" "")))) &amp; ""@zupee.in""
   ), 
"&amp;"   """")"),"")</f>
        <v/>
      </c>
      <c r="C302" s="10"/>
    </row>
    <row r="303" ht="15.75" customHeight="1">
      <c r="A303" s="12"/>
      <c r="B303" s="9" t="str">
        <f>IFERROR(__xludf.DUMMYFUNCTION("IF(A303&lt;&gt;"""", 
   IF(COUNTA(SPLIT(TRIM(A303), "" ""))=1, 
      LOWER(TRIM(A303)) &amp; ""@zupee.in"", 
      LOWER(INDEX(SPLIT(TRIM(A303), "" ""), 1)) &amp; ""."" &amp; LOWER(INDEX(SPLIT(TRIM(A303), "" ""), COUNTA(SPLIT(TRIM(A303), "" "")))) &amp; ""@zupee.in""
   ), 
"&amp;"   """")"),"")</f>
        <v/>
      </c>
      <c r="C303" s="10"/>
    </row>
    <row r="304" ht="15.75" customHeight="1">
      <c r="A304" s="12"/>
      <c r="B304" s="9" t="str">
        <f>IFERROR(__xludf.DUMMYFUNCTION("IF(A304&lt;&gt;"""", 
   IF(COUNTA(SPLIT(TRIM(A304), "" ""))=1, 
      LOWER(TRIM(A304)) &amp; ""@zupee.in"", 
      LOWER(INDEX(SPLIT(TRIM(A304), "" ""), 1)) &amp; ""."" &amp; LOWER(INDEX(SPLIT(TRIM(A304), "" ""), COUNTA(SPLIT(TRIM(A304), "" "")))) &amp; ""@zupee.in""
   ), 
"&amp;"   """")"),"")</f>
        <v/>
      </c>
      <c r="C304" s="10"/>
    </row>
    <row r="305" ht="15.75" customHeight="1">
      <c r="A305" s="12"/>
      <c r="B305" s="9" t="str">
        <f>IFERROR(__xludf.DUMMYFUNCTION("IF(A305&lt;&gt;"""", 
   IF(COUNTA(SPLIT(TRIM(A305), "" ""))=1, 
      LOWER(TRIM(A305)) &amp; ""@zupee.in"", 
      LOWER(INDEX(SPLIT(TRIM(A305), "" ""), 1)) &amp; ""."" &amp; LOWER(INDEX(SPLIT(TRIM(A305), "" ""), COUNTA(SPLIT(TRIM(A305), "" "")))) &amp; ""@zupee.in""
   ), 
"&amp;"   """")"),"")</f>
        <v/>
      </c>
      <c r="C305" s="10"/>
    </row>
    <row r="306" ht="15.75" customHeight="1">
      <c r="A306" s="12"/>
      <c r="B306" s="9" t="str">
        <f>IFERROR(__xludf.DUMMYFUNCTION("IF(A306&lt;&gt;"""", 
   IF(COUNTA(SPLIT(TRIM(A306), "" ""))=1, 
      LOWER(TRIM(A306)) &amp; ""@zupee.in"", 
      LOWER(INDEX(SPLIT(TRIM(A306), "" ""), 1)) &amp; ""."" &amp; LOWER(INDEX(SPLIT(TRIM(A306), "" ""), COUNTA(SPLIT(TRIM(A306), "" "")))) &amp; ""@zupee.in""
   ), 
"&amp;"   """")"),"")</f>
        <v/>
      </c>
      <c r="C306" s="10"/>
    </row>
    <row r="307" ht="15.75" customHeight="1">
      <c r="A307" s="12"/>
      <c r="B307" s="9" t="str">
        <f>IFERROR(__xludf.DUMMYFUNCTION("IF(A307&lt;&gt;"""", 
   IF(COUNTA(SPLIT(TRIM(A307), "" ""))=1, 
      LOWER(TRIM(A307)) &amp; ""@zupee.in"", 
      LOWER(INDEX(SPLIT(TRIM(A307), "" ""), 1)) &amp; ""."" &amp; LOWER(INDEX(SPLIT(TRIM(A307), "" ""), COUNTA(SPLIT(TRIM(A307), "" "")))) &amp; ""@zupee.in""
   ), 
"&amp;"   """")"),"")</f>
        <v/>
      </c>
      <c r="C307" s="10"/>
    </row>
    <row r="308" ht="15.75" customHeight="1">
      <c r="A308" s="12"/>
      <c r="B308" s="9" t="str">
        <f>IFERROR(__xludf.DUMMYFUNCTION("IF(A308&lt;&gt;"""", 
   IF(COUNTA(SPLIT(TRIM(A308), "" ""))=1, 
      LOWER(TRIM(A308)) &amp; ""@zupee.in"", 
      LOWER(INDEX(SPLIT(TRIM(A308), "" ""), 1)) &amp; ""."" &amp; LOWER(INDEX(SPLIT(TRIM(A308), "" ""), COUNTA(SPLIT(TRIM(A308), "" "")))) &amp; ""@zupee.in""
   ), 
"&amp;"   """")"),"")</f>
        <v/>
      </c>
      <c r="C308" s="10"/>
    </row>
    <row r="309" ht="15.75" customHeight="1">
      <c r="A309" s="12"/>
      <c r="B309" s="9" t="str">
        <f>IFERROR(__xludf.DUMMYFUNCTION("IF(A309&lt;&gt;"""", 
   IF(COUNTA(SPLIT(TRIM(A309), "" ""))=1, 
      LOWER(TRIM(A309)) &amp; ""@zupee.in"", 
      LOWER(INDEX(SPLIT(TRIM(A309), "" ""), 1)) &amp; ""."" &amp; LOWER(INDEX(SPLIT(TRIM(A309), "" ""), COUNTA(SPLIT(TRIM(A309), "" "")))) &amp; ""@zupee.in""
   ), 
"&amp;"   """")"),"")</f>
        <v/>
      </c>
      <c r="C309" s="10"/>
    </row>
    <row r="310" ht="15.75" customHeight="1">
      <c r="A310" s="12"/>
      <c r="B310" s="9" t="str">
        <f>IFERROR(__xludf.DUMMYFUNCTION("IF(A310&lt;&gt;"""", 
   IF(COUNTA(SPLIT(TRIM(A310), "" ""))=1, 
      LOWER(TRIM(A310)) &amp; ""@zupee.in"", 
      LOWER(INDEX(SPLIT(TRIM(A310), "" ""), 1)) &amp; ""."" &amp; LOWER(INDEX(SPLIT(TRIM(A310), "" ""), COUNTA(SPLIT(TRIM(A310), "" "")))) &amp; ""@zupee.in""
   ), 
"&amp;"   """")"),"")</f>
        <v/>
      </c>
      <c r="C310" s="10"/>
    </row>
    <row r="311" ht="15.75" customHeight="1">
      <c r="A311" s="12"/>
      <c r="B311" s="9" t="str">
        <f>IFERROR(__xludf.DUMMYFUNCTION("IF(A311&lt;&gt;"""", 
   IF(COUNTA(SPLIT(TRIM(A311), "" ""))=1, 
      LOWER(TRIM(A311)) &amp; ""@zupee.in"", 
      LOWER(INDEX(SPLIT(TRIM(A311), "" ""), 1)) &amp; ""."" &amp; LOWER(INDEX(SPLIT(TRIM(A311), "" ""), COUNTA(SPLIT(TRIM(A311), "" "")))) &amp; ""@zupee.in""
   ), 
"&amp;"   """")"),"")</f>
        <v/>
      </c>
      <c r="C311" s="10"/>
    </row>
    <row r="312" ht="15.75" customHeight="1">
      <c r="A312" s="12"/>
      <c r="B312" s="9" t="str">
        <f>IFERROR(__xludf.DUMMYFUNCTION("IF(A312&lt;&gt;"""", 
   IF(COUNTA(SPLIT(TRIM(A312), "" ""))=1, 
      LOWER(TRIM(A312)) &amp; ""@zupee.in"", 
      LOWER(INDEX(SPLIT(TRIM(A312), "" ""), 1)) &amp; ""."" &amp; LOWER(INDEX(SPLIT(TRIM(A312), "" ""), COUNTA(SPLIT(TRIM(A312), "" "")))) &amp; ""@zupee.in""
   ), 
"&amp;"   """")"),"")</f>
        <v/>
      </c>
      <c r="C312" s="10"/>
    </row>
    <row r="313" ht="15.75" customHeight="1">
      <c r="A313" s="12"/>
      <c r="B313" s="9" t="str">
        <f>IFERROR(__xludf.DUMMYFUNCTION("IF(A313&lt;&gt;"""", 
   IF(COUNTA(SPLIT(TRIM(A313), "" ""))=1, 
      LOWER(TRIM(A313)) &amp; ""@zupee.in"", 
      LOWER(INDEX(SPLIT(TRIM(A313), "" ""), 1)) &amp; ""."" &amp; LOWER(INDEX(SPLIT(TRIM(A313), "" ""), COUNTA(SPLIT(TRIM(A313), "" "")))) &amp; ""@zupee.in""
   ), 
"&amp;"   """")"),"")</f>
        <v/>
      </c>
      <c r="C313" s="10"/>
    </row>
    <row r="314" ht="15.75" customHeight="1">
      <c r="A314" s="12"/>
      <c r="B314" s="9" t="str">
        <f>IFERROR(__xludf.DUMMYFUNCTION("IF(A314&lt;&gt;"""", 
   IF(COUNTA(SPLIT(TRIM(A314), "" ""))=1, 
      LOWER(TRIM(A314)) &amp; ""@zupee.in"", 
      LOWER(INDEX(SPLIT(TRIM(A314), "" ""), 1)) &amp; ""."" &amp; LOWER(INDEX(SPLIT(TRIM(A314), "" ""), COUNTA(SPLIT(TRIM(A314), "" "")))) &amp; ""@zupee.in""
   ), 
"&amp;"   """")"),"")</f>
        <v/>
      </c>
      <c r="C314" s="10"/>
    </row>
    <row r="315" ht="15.75" customHeight="1">
      <c r="A315" s="12"/>
      <c r="B315" s="9" t="str">
        <f>IFERROR(__xludf.DUMMYFUNCTION("IF(A315&lt;&gt;"""", 
   IF(COUNTA(SPLIT(TRIM(A315), "" ""))=1, 
      LOWER(TRIM(A315)) &amp; ""@zupee.in"", 
      LOWER(INDEX(SPLIT(TRIM(A315), "" ""), 1)) &amp; ""."" &amp; LOWER(INDEX(SPLIT(TRIM(A315), "" ""), COUNTA(SPLIT(TRIM(A315), "" "")))) &amp; ""@zupee.in""
   ), 
"&amp;"   """")"),"")</f>
        <v/>
      </c>
      <c r="C315" s="10"/>
    </row>
    <row r="316" ht="15.75" customHeight="1">
      <c r="A316" s="12"/>
      <c r="B316" s="9" t="str">
        <f>IFERROR(__xludf.DUMMYFUNCTION("IF(A316&lt;&gt;"""", 
   IF(COUNTA(SPLIT(TRIM(A316), "" ""))=1, 
      LOWER(TRIM(A316)) &amp; ""@zupee.in"", 
      LOWER(INDEX(SPLIT(TRIM(A316), "" ""), 1)) &amp; ""."" &amp; LOWER(INDEX(SPLIT(TRIM(A316), "" ""), COUNTA(SPLIT(TRIM(A316), "" "")))) &amp; ""@zupee.in""
   ), 
"&amp;"   """")"),"")</f>
        <v/>
      </c>
      <c r="C316" s="10"/>
    </row>
    <row r="317" ht="15.75" customHeight="1">
      <c r="A317" s="12"/>
      <c r="B317" s="9" t="str">
        <f>IFERROR(__xludf.DUMMYFUNCTION("IF(A317&lt;&gt;"""", 
   IF(COUNTA(SPLIT(TRIM(A317), "" ""))=1, 
      LOWER(TRIM(A317)) &amp; ""@zupee.in"", 
      LOWER(INDEX(SPLIT(TRIM(A317), "" ""), 1)) &amp; ""."" &amp; LOWER(INDEX(SPLIT(TRIM(A317), "" ""), COUNTA(SPLIT(TRIM(A317), "" "")))) &amp; ""@zupee.in""
   ), 
"&amp;"   """")"),"")</f>
        <v/>
      </c>
      <c r="C317" s="10"/>
    </row>
    <row r="318" ht="15.75" customHeight="1">
      <c r="A318" s="12"/>
      <c r="B318" s="9" t="str">
        <f>IFERROR(__xludf.DUMMYFUNCTION("IF(A318&lt;&gt;"""", 
   IF(COUNTA(SPLIT(TRIM(A318), "" ""))=1, 
      LOWER(TRIM(A318)) &amp; ""@zupee.in"", 
      LOWER(INDEX(SPLIT(TRIM(A318), "" ""), 1)) &amp; ""."" &amp; LOWER(INDEX(SPLIT(TRIM(A318), "" ""), COUNTA(SPLIT(TRIM(A318), "" "")))) &amp; ""@zupee.in""
   ), 
"&amp;"   """")"),"")</f>
        <v/>
      </c>
      <c r="C318" s="10"/>
    </row>
    <row r="319" ht="15.75" customHeight="1">
      <c r="A319" s="12"/>
      <c r="B319" s="9" t="str">
        <f>IFERROR(__xludf.DUMMYFUNCTION("IF(A319&lt;&gt;"""", 
   IF(COUNTA(SPLIT(TRIM(A319), "" ""))=1, 
      LOWER(TRIM(A319)) &amp; ""@zupee.in"", 
      LOWER(INDEX(SPLIT(TRIM(A319), "" ""), 1)) &amp; ""."" &amp; LOWER(INDEX(SPLIT(TRIM(A319), "" ""), COUNTA(SPLIT(TRIM(A319), "" "")))) &amp; ""@zupee.in""
   ), 
"&amp;"   """")"),"")</f>
        <v/>
      </c>
      <c r="C319" s="10"/>
    </row>
    <row r="320" ht="15.75" customHeight="1">
      <c r="A320" s="12"/>
      <c r="B320" s="9" t="str">
        <f>IFERROR(__xludf.DUMMYFUNCTION("IF(A320&lt;&gt;"""", 
   IF(COUNTA(SPLIT(TRIM(A320), "" ""))=1, 
      LOWER(TRIM(A320)) &amp; ""@zupee.in"", 
      LOWER(INDEX(SPLIT(TRIM(A320), "" ""), 1)) &amp; ""."" &amp; LOWER(INDEX(SPLIT(TRIM(A320), "" ""), COUNTA(SPLIT(TRIM(A320), "" "")))) &amp; ""@zupee.in""
   ), 
"&amp;"   """")"),"")</f>
        <v/>
      </c>
      <c r="C320" s="10"/>
    </row>
    <row r="321" ht="15.75" customHeight="1">
      <c r="A321" s="12"/>
      <c r="B321" s="9" t="str">
        <f>IFERROR(__xludf.DUMMYFUNCTION("IF(A321&lt;&gt;"""", 
   IF(COUNTA(SPLIT(TRIM(A321), "" ""))=1, 
      LOWER(TRIM(A321)) &amp; ""@zupee.in"", 
      LOWER(INDEX(SPLIT(TRIM(A321), "" ""), 1)) &amp; ""."" &amp; LOWER(INDEX(SPLIT(TRIM(A321), "" ""), COUNTA(SPLIT(TRIM(A321), "" "")))) &amp; ""@zupee.in""
   ), 
"&amp;"   """")"),"")</f>
        <v/>
      </c>
      <c r="C321" s="10"/>
    </row>
    <row r="322" ht="15.75" customHeight="1">
      <c r="A322" s="12"/>
      <c r="B322" s="9" t="str">
        <f>IFERROR(__xludf.DUMMYFUNCTION("IF(A322&lt;&gt;"""", 
   IF(COUNTA(SPLIT(TRIM(A322), "" ""))=1, 
      LOWER(TRIM(A322)) &amp; ""@zupee.in"", 
      LOWER(INDEX(SPLIT(TRIM(A322), "" ""), 1)) &amp; ""."" &amp; LOWER(INDEX(SPLIT(TRIM(A322), "" ""), COUNTA(SPLIT(TRIM(A322), "" "")))) &amp; ""@zupee.in""
   ), 
"&amp;"   """")"),"")</f>
        <v/>
      </c>
      <c r="C322" s="10"/>
    </row>
    <row r="323" ht="15.75" customHeight="1">
      <c r="A323" s="12"/>
      <c r="B323" s="9" t="str">
        <f>IFERROR(__xludf.DUMMYFUNCTION("IF(A323&lt;&gt;"""", 
   IF(COUNTA(SPLIT(TRIM(A323), "" ""))=1, 
      LOWER(TRIM(A323)) &amp; ""@zupee.in"", 
      LOWER(INDEX(SPLIT(TRIM(A323), "" ""), 1)) &amp; ""."" &amp; LOWER(INDEX(SPLIT(TRIM(A323), "" ""), COUNTA(SPLIT(TRIM(A323), "" "")))) &amp; ""@zupee.in""
   ), 
"&amp;"   """")"),"")</f>
        <v/>
      </c>
      <c r="C323" s="10"/>
    </row>
    <row r="324" ht="15.75" customHeight="1">
      <c r="A324" s="12"/>
      <c r="B324" s="9" t="str">
        <f>IFERROR(__xludf.DUMMYFUNCTION("IF(A324&lt;&gt;"""", 
   IF(COUNTA(SPLIT(TRIM(A324), "" ""))=1, 
      LOWER(TRIM(A324)) &amp; ""@zupee.in"", 
      LOWER(INDEX(SPLIT(TRIM(A324), "" ""), 1)) &amp; ""."" &amp; LOWER(INDEX(SPLIT(TRIM(A324), "" ""), COUNTA(SPLIT(TRIM(A324), "" "")))) &amp; ""@zupee.in""
   ), 
"&amp;"   """")"),"")</f>
        <v/>
      </c>
      <c r="C324" s="10"/>
    </row>
    <row r="325" ht="15.75" customHeight="1">
      <c r="A325" s="12"/>
      <c r="B325" s="9" t="str">
        <f>IFERROR(__xludf.DUMMYFUNCTION("IF(A325&lt;&gt;"""", 
   IF(COUNTA(SPLIT(TRIM(A325), "" ""))=1, 
      LOWER(TRIM(A325)) &amp; ""@zupee.in"", 
      LOWER(INDEX(SPLIT(TRIM(A325), "" ""), 1)) &amp; ""."" &amp; LOWER(INDEX(SPLIT(TRIM(A325), "" ""), COUNTA(SPLIT(TRIM(A325), "" "")))) &amp; ""@zupee.in""
   ), 
"&amp;"   """")"),"")</f>
        <v/>
      </c>
      <c r="C325" s="10"/>
    </row>
    <row r="326" ht="15.75" customHeight="1">
      <c r="A326" s="12"/>
      <c r="B326" s="9" t="str">
        <f>IFERROR(__xludf.DUMMYFUNCTION("IF(A326&lt;&gt;"""", 
   IF(COUNTA(SPLIT(TRIM(A326), "" ""))=1, 
      LOWER(TRIM(A326)) &amp; ""@zupee.in"", 
      LOWER(INDEX(SPLIT(TRIM(A326), "" ""), 1)) &amp; ""."" &amp; LOWER(INDEX(SPLIT(TRIM(A326), "" ""), COUNTA(SPLIT(TRIM(A326), "" "")))) &amp; ""@zupee.in""
   ), 
"&amp;"   """")"),"")</f>
        <v/>
      </c>
      <c r="C326" s="10"/>
    </row>
    <row r="327" ht="15.75" customHeight="1">
      <c r="A327" s="12"/>
      <c r="B327" s="9" t="str">
        <f>IFERROR(__xludf.DUMMYFUNCTION("IF(A327&lt;&gt;"""", 
   IF(COUNTA(SPLIT(TRIM(A327), "" ""))=1, 
      LOWER(TRIM(A327)) &amp; ""@zupee.in"", 
      LOWER(INDEX(SPLIT(TRIM(A327), "" ""), 1)) &amp; ""."" &amp; LOWER(INDEX(SPLIT(TRIM(A327), "" ""), COUNTA(SPLIT(TRIM(A327), "" "")))) &amp; ""@zupee.in""
   ), 
"&amp;"   """")"),"")</f>
        <v/>
      </c>
      <c r="C327" s="10"/>
    </row>
    <row r="328" ht="15.75" customHeight="1">
      <c r="A328" s="12"/>
      <c r="B328" s="9" t="str">
        <f>IFERROR(__xludf.DUMMYFUNCTION("IF(A328&lt;&gt;"""", 
   IF(COUNTA(SPLIT(TRIM(A328), "" ""))=1, 
      LOWER(TRIM(A328)) &amp; ""@zupee.in"", 
      LOWER(INDEX(SPLIT(TRIM(A328), "" ""), 1)) &amp; ""."" &amp; LOWER(INDEX(SPLIT(TRIM(A328), "" ""), COUNTA(SPLIT(TRIM(A328), "" "")))) &amp; ""@zupee.in""
   ), 
"&amp;"   """")"),"")</f>
        <v/>
      </c>
      <c r="C328" s="10"/>
    </row>
    <row r="329" ht="15.75" customHeight="1">
      <c r="A329" s="12"/>
      <c r="B329" s="9" t="str">
        <f>IFERROR(__xludf.DUMMYFUNCTION("IF(A329&lt;&gt;"""", 
   IF(COUNTA(SPLIT(TRIM(A329), "" ""))=1, 
      LOWER(TRIM(A329)) &amp; ""@zupee.in"", 
      LOWER(INDEX(SPLIT(TRIM(A329), "" ""), 1)) &amp; ""."" &amp; LOWER(INDEX(SPLIT(TRIM(A329), "" ""), COUNTA(SPLIT(TRIM(A329), "" "")))) &amp; ""@zupee.in""
   ), 
"&amp;"   """")"),"")</f>
        <v/>
      </c>
      <c r="C329" s="10"/>
    </row>
    <row r="330" ht="15.75" customHeight="1">
      <c r="A330" s="12"/>
      <c r="B330" s="9" t="str">
        <f>IFERROR(__xludf.DUMMYFUNCTION("IF(A330&lt;&gt;"""", 
   IF(COUNTA(SPLIT(TRIM(A330), "" ""))=1, 
      LOWER(TRIM(A330)) &amp; ""@zupee.in"", 
      LOWER(INDEX(SPLIT(TRIM(A330), "" ""), 1)) &amp; ""."" &amp; LOWER(INDEX(SPLIT(TRIM(A330), "" ""), COUNTA(SPLIT(TRIM(A330), "" "")))) &amp; ""@zupee.in""
   ), 
"&amp;"   """")"),"")</f>
        <v/>
      </c>
      <c r="C330" s="10"/>
    </row>
    <row r="331" ht="15.75" customHeight="1">
      <c r="A331" s="12"/>
      <c r="B331" s="9" t="str">
        <f>IFERROR(__xludf.DUMMYFUNCTION("IF(A331&lt;&gt;"""", 
   IF(COUNTA(SPLIT(TRIM(A331), "" ""))=1, 
      LOWER(TRIM(A331)) &amp; ""@zupee.in"", 
      LOWER(INDEX(SPLIT(TRIM(A331), "" ""), 1)) &amp; ""."" &amp; LOWER(INDEX(SPLIT(TRIM(A331), "" ""), COUNTA(SPLIT(TRIM(A331), "" "")))) &amp; ""@zupee.in""
   ), 
"&amp;"   """")"),"")</f>
        <v/>
      </c>
      <c r="C331" s="10"/>
    </row>
    <row r="332" ht="15.75" customHeight="1">
      <c r="A332" s="12"/>
      <c r="B332" s="9" t="str">
        <f>IFERROR(__xludf.DUMMYFUNCTION("IF(A332&lt;&gt;"""", 
   IF(COUNTA(SPLIT(TRIM(A332), "" ""))=1, 
      LOWER(TRIM(A332)) &amp; ""@zupee.in"", 
      LOWER(INDEX(SPLIT(TRIM(A332), "" ""), 1)) &amp; ""."" &amp; LOWER(INDEX(SPLIT(TRIM(A332), "" ""), COUNTA(SPLIT(TRIM(A332), "" "")))) &amp; ""@zupee.in""
   ), 
"&amp;"   """")"),"")</f>
        <v/>
      </c>
      <c r="C332" s="10"/>
    </row>
    <row r="333" ht="15.75" customHeight="1">
      <c r="A333" s="12"/>
      <c r="B333" s="9" t="str">
        <f>IFERROR(__xludf.DUMMYFUNCTION("IF(A333&lt;&gt;"""", 
   IF(COUNTA(SPLIT(TRIM(A333), "" ""))=1, 
      LOWER(TRIM(A333)) &amp; ""@zupee.in"", 
      LOWER(INDEX(SPLIT(TRIM(A333), "" ""), 1)) &amp; ""."" &amp; LOWER(INDEX(SPLIT(TRIM(A333), "" ""), COUNTA(SPLIT(TRIM(A333), "" "")))) &amp; ""@zupee.in""
   ), 
"&amp;"   """")"),"")</f>
        <v/>
      </c>
      <c r="C333" s="10"/>
    </row>
    <row r="334" ht="15.75" customHeight="1">
      <c r="A334" s="12"/>
      <c r="B334" s="9" t="str">
        <f>IFERROR(__xludf.DUMMYFUNCTION("IF(A334&lt;&gt;"""", 
   IF(COUNTA(SPLIT(TRIM(A334), "" ""))=1, 
      LOWER(TRIM(A334)) &amp; ""@zupee.in"", 
      LOWER(INDEX(SPLIT(TRIM(A334), "" ""), 1)) &amp; ""."" &amp; LOWER(INDEX(SPLIT(TRIM(A334), "" ""), COUNTA(SPLIT(TRIM(A334), "" "")))) &amp; ""@zupee.in""
   ), 
"&amp;"   """")"),"")</f>
        <v/>
      </c>
      <c r="C334" s="10"/>
    </row>
    <row r="335" ht="15.75" customHeight="1">
      <c r="A335" s="12"/>
      <c r="B335" s="9" t="str">
        <f>IFERROR(__xludf.DUMMYFUNCTION("IF(A335&lt;&gt;"""", 
   IF(COUNTA(SPLIT(TRIM(A335), "" ""))=1, 
      LOWER(TRIM(A335)) &amp; ""@zupee.in"", 
      LOWER(INDEX(SPLIT(TRIM(A335), "" ""), 1)) &amp; ""."" &amp; LOWER(INDEX(SPLIT(TRIM(A335), "" ""), COUNTA(SPLIT(TRIM(A335), "" "")))) &amp; ""@zupee.in""
   ), 
"&amp;"   """")"),"")</f>
        <v/>
      </c>
      <c r="C335" s="10"/>
    </row>
    <row r="336" ht="15.75" customHeight="1">
      <c r="A336" s="12"/>
      <c r="B336" s="9" t="str">
        <f>IFERROR(__xludf.DUMMYFUNCTION("IF(A336&lt;&gt;"""", 
   IF(COUNTA(SPLIT(TRIM(A336), "" ""))=1, 
      LOWER(TRIM(A336)) &amp; ""@zupee.in"", 
      LOWER(INDEX(SPLIT(TRIM(A336), "" ""), 1)) &amp; ""."" &amp; LOWER(INDEX(SPLIT(TRIM(A336), "" ""), COUNTA(SPLIT(TRIM(A336), "" "")))) &amp; ""@zupee.in""
   ), 
"&amp;"   """")"),"")</f>
        <v/>
      </c>
      <c r="C336" s="10"/>
    </row>
    <row r="337" ht="15.75" customHeight="1">
      <c r="A337" s="12"/>
      <c r="B337" s="9" t="str">
        <f>IFERROR(__xludf.DUMMYFUNCTION("IF(A337&lt;&gt;"""", 
   IF(COUNTA(SPLIT(TRIM(A337), "" ""))=1, 
      LOWER(TRIM(A337)) &amp; ""@zupee.in"", 
      LOWER(INDEX(SPLIT(TRIM(A337), "" ""), 1)) &amp; ""."" &amp; LOWER(INDEX(SPLIT(TRIM(A337), "" ""), COUNTA(SPLIT(TRIM(A337), "" "")))) &amp; ""@zupee.in""
   ), 
"&amp;"   """")"),"")</f>
        <v/>
      </c>
      <c r="C337" s="10"/>
    </row>
    <row r="338" ht="15.75" customHeight="1">
      <c r="A338" s="12"/>
      <c r="B338" s="9" t="str">
        <f>IFERROR(__xludf.DUMMYFUNCTION("IF(A338&lt;&gt;"""", 
   IF(COUNTA(SPLIT(TRIM(A338), "" ""))=1, 
      LOWER(TRIM(A338)) &amp; ""@zupee.in"", 
      LOWER(INDEX(SPLIT(TRIM(A338), "" ""), 1)) &amp; ""."" &amp; LOWER(INDEX(SPLIT(TRIM(A338), "" ""), COUNTA(SPLIT(TRIM(A338), "" "")))) &amp; ""@zupee.in""
   ), 
"&amp;"   """")"),"")</f>
        <v/>
      </c>
      <c r="C338" s="10"/>
    </row>
    <row r="339" ht="15.75" customHeight="1">
      <c r="A339" s="12"/>
      <c r="B339" s="9" t="str">
        <f>IFERROR(__xludf.DUMMYFUNCTION("IF(A339&lt;&gt;"""", 
   IF(COUNTA(SPLIT(TRIM(A339), "" ""))=1, 
      LOWER(TRIM(A339)) &amp; ""@zupee.in"", 
      LOWER(INDEX(SPLIT(TRIM(A339), "" ""), 1)) &amp; ""."" &amp; LOWER(INDEX(SPLIT(TRIM(A339), "" ""), COUNTA(SPLIT(TRIM(A339), "" "")))) &amp; ""@zupee.in""
   ), 
"&amp;"   """")"),"")</f>
        <v/>
      </c>
      <c r="C339" s="10"/>
    </row>
    <row r="340" ht="15.75" customHeight="1">
      <c r="A340" s="12"/>
      <c r="B340" s="9" t="str">
        <f>IFERROR(__xludf.DUMMYFUNCTION("IF(A340&lt;&gt;"""", 
   IF(COUNTA(SPLIT(TRIM(A340), "" ""))=1, 
      LOWER(TRIM(A340)) &amp; ""@zupee.in"", 
      LOWER(INDEX(SPLIT(TRIM(A340), "" ""), 1)) &amp; ""."" &amp; LOWER(INDEX(SPLIT(TRIM(A340), "" ""), COUNTA(SPLIT(TRIM(A340), "" "")))) &amp; ""@zupee.in""
   ), 
"&amp;"   """")"),"")</f>
        <v/>
      </c>
      <c r="C340" s="10"/>
    </row>
    <row r="341" ht="15.75" customHeight="1">
      <c r="A341" s="12"/>
      <c r="B341" s="9" t="str">
        <f>IFERROR(__xludf.DUMMYFUNCTION("IF(A341&lt;&gt;"""", 
   IF(COUNTA(SPLIT(TRIM(A341), "" ""))=1, 
      LOWER(TRIM(A341)) &amp; ""@zupee.in"", 
      LOWER(INDEX(SPLIT(TRIM(A341), "" ""), 1)) &amp; ""."" &amp; LOWER(INDEX(SPLIT(TRIM(A341), "" ""), COUNTA(SPLIT(TRIM(A341), "" "")))) &amp; ""@zupee.in""
   ), 
"&amp;"   """")"),"")</f>
        <v/>
      </c>
      <c r="C341" s="10"/>
    </row>
    <row r="342" ht="15.75" customHeight="1">
      <c r="A342" s="12"/>
      <c r="B342" s="9" t="str">
        <f>IFERROR(__xludf.DUMMYFUNCTION("IF(A342&lt;&gt;"""", 
   IF(COUNTA(SPLIT(TRIM(A342), "" ""))=1, 
      LOWER(TRIM(A342)) &amp; ""@zupee.in"", 
      LOWER(INDEX(SPLIT(TRIM(A342), "" ""), 1)) &amp; ""."" &amp; LOWER(INDEX(SPLIT(TRIM(A342), "" ""), COUNTA(SPLIT(TRIM(A342), "" "")))) &amp; ""@zupee.in""
   ), 
"&amp;"   """")"),"")</f>
        <v/>
      </c>
      <c r="C342" s="10"/>
    </row>
    <row r="343" ht="15.75" customHeight="1">
      <c r="A343" s="12"/>
      <c r="B343" s="9" t="str">
        <f>IFERROR(__xludf.DUMMYFUNCTION("IF(A343&lt;&gt;"""", 
   IF(COUNTA(SPLIT(TRIM(A343), "" ""))=1, 
      LOWER(TRIM(A343)) &amp; ""@zupee.in"", 
      LOWER(INDEX(SPLIT(TRIM(A343), "" ""), 1)) &amp; ""."" &amp; LOWER(INDEX(SPLIT(TRIM(A343), "" ""), COUNTA(SPLIT(TRIM(A343), "" "")))) &amp; ""@zupee.in""
   ), 
"&amp;"   """")"),"")</f>
        <v/>
      </c>
      <c r="C343" s="10"/>
    </row>
    <row r="344" ht="15.75" customHeight="1">
      <c r="A344" s="12"/>
      <c r="B344" s="9" t="str">
        <f>IFERROR(__xludf.DUMMYFUNCTION("IF(A344&lt;&gt;"""", 
   IF(COUNTA(SPLIT(TRIM(A344), "" ""))=1, 
      LOWER(TRIM(A344)) &amp; ""@zupee.in"", 
      LOWER(INDEX(SPLIT(TRIM(A344), "" ""), 1)) &amp; ""."" &amp; LOWER(INDEX(SPLIT(TRIM(A344), "" ""), COUNTA(SPLIT(TRIM(A344), "" "")))) &amp; ""@zupee.in""
   ), 
"&amp;"   """")"),"")</f>
        <v/>
      </c>
      <c r="C344" s="10"/>
    </row>
    <row r="345" ht="15.75" customHeight="1">
      <c r="A345" s="12"/>
      <c r="B345" s="9" t="str">
        <f>IFERROR(__xludf.DUMMYFUNCTION("IF(A345&lt;&gt;"""", 
   IF(COUNTA(SPLIT(TRIM(A345), "" ""))=1, 
      LOWER(TRIM(A345)) &amp; ""@zupee.in"", 
      LOWER(INDEX(SPLIT(TRIM(A345), "" ""), 1)) &amp; ""."" &amp; LOWER(INDEX(SPLIT(TRIM(A345), "" ""), COUNTA(SPLIT(TRIM(A345), "" "")))) &amp; ""@zupee.in""
   ), 
"&amp;"   """")"),"")</f>
        <v/>
      </c>
      <c r="C345" s="10"/>
    </row>
    <row r="346" ht="15.75" customHeight="1">
      <c r="A346" s="12"/>
      <c r="B346" s="9" t="str">
        <f>IFERROR(__xludf.DUMMYFUNCTION("IF(A346&lt;&gt;"""", 
   IF(COUNTA(SPLIT(TRIM(A346), "" ""))=1, 
      LOWER(TRIM(A346)) &amp; ""@zupee.in"", 
      LOWER(INDEX(SPLIT(TRIM(A346), "" ""), 1)) &amp; ""."" &amp; LOWER(INDEX(SPLIT(TRIM(A346), "" ""), COUNTA(SPLIT(TRIM(A346), "" "")))) &amp; ""@zupee.in""
   ), 
"&amp;"   """")"),"")</f>
        <v/>
      </c>
      <c r="C346" s="10"/>
    </row>
    <row r="347" ht="15.75" customHeight="1">
      <c r="A347" s="12"/>
      <c r="B347" s="9" t="str">
        <f>IFERROR(__xludf.DUMMYFUNCTION("IF(A347&lt;&gt;"""", 
   IF(COUNTA(SPLIT(TRIM(A347), "" ""))=1, 
      LOWER(TRIM(A347)) &amp; ""@zupee.in"", 
      LOWER(INDEX(SPLIT(TRIM(A347), "" ""), 1)) &amp; ""."" &amp; LOWER(INDEX(SPLIT(TRIM(A347), "" ""), COUNTA(SPLIT(TRIM(A347), "" "")))) &amp; ""@zupee.in""
   ), 
"&amp;"   """")"),"")</f>
        <v/>
      </c>
      <c r="C347" s="10"/>
    </row>
    <row r="348" ht="15.75" customHeight="1">
      <c r="A348" s="12"/>
      <c r="B348" s="9" t="str">
        <f>IFERROR(__xludf.DUMMYFUNCTION("IF(A348&lt;&gt;"""", 
   IF(COUNTA(SPLIT(TRIM(A348), "" ""))=1, 
      LOWER(TRIM(A348)) &amp; ""@zupee.in"", 
      LOWER(INDEX(SPLIT(TRIM(A348), "" ""), 1)) &amp; ""."" &amp; LOWER(INDEX(SPLIT(TRIM(A348), "" ""), COUNTA(SPLIT(TRIM(A348), "" "")))) &amp; ""@zupee.in""
   ), 
"&amp;"   """")"),"")</f>
        <v/>
      </c>
      <c r="C348" s="10"/>
    </row>
    <row r="349" ht="15.75" customHeight="1">
      <c r="A349" s="12"/>
      <c r="B349" s="9" t="str">
        <f>IFERROR(__xludf.DUMMYFUNCTION("IF(A349&lt;&gt;"""", 
   IF(COUNTA(SPLIT(TRIM(A349), "" ""))=1, 
      LOWER(TRIM(A349)) &amp; ""@zupee.in"", 
      LOWER(INDEX(SPLIT(TRIM(A349), "" ""), 1)) &amp; ""."" &amp; LOWER(INDEX(SPLIT(TRIM(A349), "" ""), COUNTA(SPLIT(TRIM(A349), "" "")))) &amp; ""@zupee.in""
   ), 
"&amp;"   """")"),"")</f>
        <v/>
      </c>
      <c r="C349" s="10"/>
    </row>
    <row r="350" ht="15.75" customHeight="1">
      <c r="A350" s="12"/>
      <c r="B350" s="9" t="str">
        <f>IFERROR(__xludf.DUMMYFUNCTION("IF(A350&lt;&gt;"""", 
   IF(COUNTA(SPLIT(TRIM(A350), "" ""))=1, 
      LOWER(TRIM(A350)) &amp; ""@zupee.in"", 
      LOWER(INDEX(SPLIT(TRIM(A350), "" ""), 1)) &amp; ""."" &amp; LOWER(INDEX(SPLIT(TRIM(A350), "" ""), COUNTA(SPLIT(TRIM(A350), "" "")))) &amp; ""@zupee.in""
   ), 
"&amp;"   """")"),"")</f>
        <v/>
      </c>
      <c r="C350" s="10"/>
    </row>
    <row r="351" ht="15.75" customHeight="1">
      <c r="A351" s="12"/>
      <c r="B351" s="9" t="str">
        <f>IFERROR(__xludf.DUMMYFUNCTION("IF(A351&lt;&gt;"""", 
   IF(COUNTA(SPLIT(TRIM(A351), "" ""))=1, 
      LOWER(TRIM(A351)) &amp; ""@zupee.in"", 
      LOWER(INDEX(SPLIT(TRIM(A351), "" ""), 1)) &amp; ""."" &amp; LOWER(INDEX(SPLIT(TRIM(A351), "" ""), COUNTA(SPLIT(TRIM(A351), "" "")))) &amp; ""@zupee.in""
   ), 
"&amp;"   """")"),"")</f>
        <v/>
      </c>
      <c r="C351" s="10"/>
    </row>
    <row r="352" ht="15.75" customHeight="1">
      <c r="A352" s="12"/>
      <c r="B352" s="9" t="str">
        <f>IFERROR(__xludf.DUMMYFUNCTION("IF(A352&lt;&gt;"""", 
   IF(COUNTA(SPLIT(TRIM(A352), "" ""))=1, 
      LOWER(TRIM(A352)) &amp; ""@zupee.in"", 
      LOWER(INDEX(SPLIT(TRIM(A352), "" ""), 1)) &amp; ""."" &amp; LOWER(INDEX(SPLIT(TRIM(A352), "" ""), COUNTA(SPLIT(TRIM(A352), "" "")))) &amp; ""@zupee.in""
   ), 
"&amp;"   """")"),"")</f>
        <v/>
      </c>
      <c r="C352" s="10"/>
    </row>
    <row r="353" ht="15.75" customHeight="1">
      <c r="A353" s="12"/>
      <c r="B353" s="9" t="str">
        <f>IFERROR(__xludf.DUMMYFUNCTION("IF(A353&lt;&gt;"""", 
   IF(COUNTA(SPLIT(TRIM(A353), "" ""))=1, 
      LOWER(TRIM(A353)) &amp; ""@zupee.in"", 
      LOWER(INDEX(SPLIT(TRIM(A353), "" ""), 1)) &amp; ""."" &amp; LOWER(INDEX(SPLIT(TRIM(A353), "" ""), COUNTA(SPLIT(TRIM(A353), "" "")))) &amp; ""@zupee.in""
   ), 
"&amp;"   """")"),"")</f>
        <v/>
      </c>
      <c r="C353" s="10"/>
    </row>
    <row r="354" ht="15.75" customHeight="1">
      <c r="A354" s="12"/>
      <c r="B354" s="9" t="str">
        <f>IFERROR(__xludf.DUMMYFUNCTION("IF(A354&lt;&gt;"""", 
   IF(COUNTA(SPLIT(TRIM(A354), "" ""))=1, 
      LOWER(TRIM(A354)) &amp; ""@zupee.in"", 
      LOWER(INDEX(SPLIT(TRIM(A354), "" ""), 1)) &amp; ""."" &amp; LOWER(INDEX(SPLIT(TRIM(A354), "" ""), COUNTA(SPLIT(TRIM(A354), "" "")))) &amp; ""@zupee.in""
   ), 
"&amp;"   """")"),"")</f>
        <v/>
      </c>
      <c r="C354" s="10"/>
    </row>
    <row r="355" ht="15.75" customHeight="1">
      <c r="A355" s="12"/>
      <c r="B355" s="9" t="str">
        <f>IFERROR(__xludf.DUMMYFUNCTION("IF(A355&lt;&gt;"""", 
   IF(COUNTA(SPLIT(TRIM(A355), "" ""))=1, 
      LOWER(TRIM(A355)) &amp; ""@zupee.in"", 
      LOWER(INDEX(SPLIT(TRIM(A355), "" ""), 1)) &amp; ""."" &amp; LOWER(INDEX(SPLIT(TRIM(A355), "" ""), COUNTA(SPLIT(TRIM(A355), "" "")))) &amp; ""@zupee.in""
   ), 
"&amp;"   """")"),"")</f>
        <v/>
      </c>
      <c r="C355" s="10"/>
    </row>
    <row r="356" ht="15.75" customHeight="1">
      <c r="A356" s="12"/>
      <c r="B356" s="9" t="str">
        <f>IFERROR(__xludf.DUMMYFUNCTION("IF(A356&lt;&gt;"""", 
   IF(COUNTA(SPLIT(TRIM(A356), "" ""))=1, 
      LOWER(TRIM(A356)) &amp; ""@zupee.in"", 
      LOWER(INDEX(SPLIT(TRIM(A356), "" ""), 1)) &amp; ""."" &amp; LOWER(INDEX(SPLIT(TRIM(A356), "" ""), COUNTA(SPLIT(TRIM(A356), "" "")))) &amp; ""@zupee.in""
   ), 
"&amp;"   """")"),"")</f>
        <v/>
      </c>
      <c r="C356" s="10"/>
    </row>
    <row r="357" ht="15.75" customHeight="1">
      <c r="A357" s="12"/>
      <c r="B357" s="9" t="str">
        <f>IFERROR(__xludf.DUMMYFUNCTION("IF(A357&lt;&gt;"""", 
   IF(COUNTA(SPLIT(TRIM(A357), "" ""))=1, 
      LOWER(TRIM(A357)) &amp; ""@zupee.in"", 
      LOWER(INDEX(SPLIT(TRIM(A357), "" ""), 1)) &amp; ""."" &amp; LOWER(INDEX(SPLIT(TRIM(A357), "" ""), COUNTA(SPLIT(TRIM(A357), "" "")))) &amp; ""@zupee.in""
   ), 
"&amp;"   """")"),"")</f>
        <v/>
      </c>
      <c r="C357" s="10"/>
    </row>
    <row r="358" ht="15.75" customHeight="1">
      <c r="A358" s="12"/>
      <c r="B358" s="9" t="str">
        <f>IFERROR(__xludf.DUMMYFUNCTION("IF(A358&lt;&gt;"""", 
   IF(COUNTA(SPLIT(TRIM(A358), "" ""))=1, 
      LOWER(TRIM(A358)) &amp; ""@zupee.in"", 
      LOWER(INDEX(SPLIT(TRIM(A358), "" ""), 1)) &amp; ""."" &amp; LOWER(INDEX(SPLIT(TRIM(A358), "" ""), COUNTA(SPLIT(TRIM(A358), "" "")))) &amp; ""@zupee.in""
   ), 
"&amp;"   """")"),"")</f>
        <v/>
      </c>
      <c r="C358" s="10"/>
    </row>
    <row r="359" ht="15.75" customHeight="1">
      <c r="A359" s="12"/>
      <c r="B359" s="9" t="str">
        <f>IFERROR(__xludf.DUMMYFUNCTION("IF(A359&lt;&gt;"""", 
   IF(COUNTA(SPLIT(TRIM(A359), "" ""))=1, 
      LOWER(TRIM(A359)) &amp; ""@zupee.in"", 
      LOWER(INDEX(SPLIT(TRIM(A359), "" ""), 1)) &amp; ""."" &amp; LOWER(INDEX(SPLIT(TRIM(A359), "" ""), COUNTA(SPLIT(TRIM(A359), "" "")))) &amp; ""@zupee.in""
   ), 
"&amp;"   """")"),"")</f>
        <v/>
      </c>
      <c r="C359" s="10"/>
    </row>
    <row r="360" ht="15.75" customHeight="1">
      <c r="A360" s="12"/>
      <c r="B360" s="9" t="str">
        <f>IFERROR(__xludf.DUMMYFUNCTION("IF(A360&lt;&gt;"""", 
   IF(COUNTA(SPLIT(TRIM(A360), "" ""))=1, 
      LOWER(TRIM(A360)) &amp; ""@zupee.in"", 
      LOWER(INDEX(SPLIT(TRIM(A360), "" ""), 1)) &amp; ""."" &amp; LOWER(INDEX(SPLIT(TRIM(A360), "" ""), COUNTA(SPLIT(TRIM(A360), "" "")))) &amp; ""@zupee.in""
   ), 
"&amp;"   """")"),"")</f>
        <v/>
      </c>
      <c r="C360" s="10"/>
    </row>
    <row r="361" ht="15.75" customHeight="1">
      <c r="A361" s="12"/>
      <c r="B361" s="9" t="str">
        <f>IFERROR(__xludf.DUMMYFUNCTION("IF(A361&lt;&gt;"""", 
   IF(COUNTA(SPLIT(TRIM(A361), "" ""))=1, 
      LOWER(TRIM(A361)) &amp; ""@zupee.in"", 
      LOWER(INDEX(SPLIT(TRIM(A361), "" ""), 1)) &amp; ""."" &amp; LOWER(INDEX(SPLIT(TRIM(A361), "" ""), COUNTA(SPLIT(TRIM(A361), "" "")))) &amp; ""@zupee.in""
   ), 
"&amp;"   """")"),"")</f>
        <v/>
      </c>
      <c r="C361" s="10"/>
    </row>
    <row r="362" ht="15.75" customHeight="1">
      <c r="A362" s="12"/>
      <c r="B362" s="9" t="str">
        <f>IFERROR(__xludf.DUMMYFUNCTION("IF(A362&lt;&gt;"""", 
   IF(COUNTA(SPLIT(TRIM(A362), "" ""))=1, 
      LOWER(TRIM(A362)) &amp; ""@zupee.in"", 
      LOWER(INDEX(SPLIT(TRIM(A362), "" ""), 1)) &amp; ""."" &amp; LOWER(INDEX(SPLIT(TRIM(A362), "" ""), COUNTA(SPLIT(TRIM(A362), "" "")))) &amp; ""@zupee.in""
   ), 
"&amp;"   """")"),"")</f>
        <v/>
      </c>
      <c r="C362" s="10"/>
    </row>
    <row r="363" ht="15.75" customHeight="1">
      <c r="A363" s="12"/>
      <c r="B363" s="9" t="str">
        <f>IFERROR(__xludf.DUMMYFUNCTION("IF(A363&lt;&gt;"""", 
   IF(COUNTA(SPLIT(TRIM(A363), "" ""))=1, 
      LOWER(TRIM(A363)) &amp; ""@zupee.in"", 
      LOWER(INDEX(SPLIT(TRIM(A363), "" ""), 1)) &amp; ""."" &amp; LOWER(INDEX(SPLIT(TRIM(A363), "" ""), COUNTA(SPLIT(TRIM(A363), "" "")))) &amp; ""@zupee.in""
   ), 
"&amp;"   """")"),"")</f>
        <v/>
      </c>
      <c r="C363" s="10"/>
    </row>
    <row r="364" ht="15.75" customHeight="1">
      <c r="A364" s="12"/>
      <c r="B364" s="9" t="str">
        <f>IFERROR(__xludf.DUMMYFUNCTION("IF(A364&lt;&gt;"""", 
   IF(COUNTA(SPLIT(TRIM(A364), "" ""))=1, 
      LOWER(TRIM(A364)) &amp; ""@zupee.in"", 
      LOWER(INDEX(SPLIT(TRIM(A364), "" ""), 1)) &amp; ""."" &amp; LOWER(INDEX(SPLIT(TRIM(A364), "" ""), COUNTA(SPLIT(TRIM(A364), "" "")))) &amp; ""@zupee.in""
   ), 
"&amp;"   """")"),"")</f>
        <v/>
      </c>
      <c r="C364" s="10"/>
    </row>
    <row r="365" ht="15.75" customHeight="1">
      <c r="A365" s="12"/>
      <c r="B365" s="9" t="str">
        <f>IFERROR(__xludf.DUMMYFUNCTION("IF(A365&lt;&gt;"""", 
   IF(COUNTA(SPLIT(TRIM(A365), "" ""))=1, 
      LOWER(TRIM(A365)) &amp; ""@zupee.in"", 
      LOWER(INDEX(SPLIT(TRIM(A365), "" ""), 1)) &amp; ""."" &amp; LOWER(INDEX(SPLIT(TRIM(A365), "" ""), COUNTA(SPLIT(TRIM(A365), "" "")))) &amp; ""@zupee.in""
   ), 
"&amp;"   """")"),"")</f>
        <v/>
      </c>
      <c r="C365" s="10"/>
    </row>
    <row r="366" ht="15.75" customHeight="1">
      <c r="A366" s="12"/>
      <c r="B366" s="9" t="str">
        <f>IFERROR(__xludf.DUMMYFUNCTION("IF(A366&lt;&gt;"""", 
   IF(COUNTA(SPLIT(TRIM(A366), "" ""))=1, 
      LOWER(TRIM(A366)) &amp; ""@zupee.in"", 
      LOWER(INDEX(SPLIT(TRIM(A366), "" ""), 1)) &amp; ""."" &amp; LOWER(INDEX(SPLIT(TRIM(A366), "" ""), COUNTA(SPLIT(TRIM(A366), "" "")))) &amp; ""@zupee.in""
   ), 
"&amp;"   """")"),"")</f>
        <v/>
      </c>
      <c r="C366" s="10"/>
    </row>
    <row r="367" ht="15.75" customHeight="1">
      <c r="A367" s="12"/>
      <c r="B367" s="9" t="str">
        <f>IFERROR(__xludf.DUMMYFUNCTION("IF(A367&lt;&gt;"""", 
   IF(COUNTA(SPLIT(TRIM(A367), "" ""))=1, 
      LOWER(TRIM(A367)) &amp; ""@zupee.in"", 
      LOWER(INDEX(SPLIT(TRIM(A367), "" ""), 1)) &amp; ""."" &amp; LOWER(INDEX(SPLIT(TRIM(A367), "" ""), COUNTA(SPLIT(TRIM(A367), "" "")))) &amp; ""@zupee.in""
   ), 
"&amp;"   """")"),"")</f>
        <v/>
      </c>
      <c r="C367" s="10"/>
    </row>
    <row r="368" ht="15.75" customHeight="1">
      <c r="A368" s="12"/>
      <c r="B368" s="9" t="str">
        <f>IFERROR(__xludf.DUMMYFUNCTION("IF(A368&lt;&gt;"""", 
   IF(COUNTA(SPLIT(TRIM(A368), "" ""))=1, 
      LOWER(TRIM(A368)) &amp; ""@zupee.in"", 
      LOWER(INDEX(SPLIT(TRIM(A368), "" ""), 1)) &amp; ""."" &amp; LOWER(INDEX(SPLIT(TRIM(A368), "" ""), COUNTA(SPLIT(TRIM(A368), "" "")))) &amp; ""@zupee.in""
   ), 
"&amp;"   """")"),"")</f>
        <v/>
      </c>
      <c r="C368" s="10"/>
    </row>
    <row r="369" ht="15.75" customHeight="1">
      <c r="A369" s="12"/>
      <c r="B369" s="9" t="str">
        <f>IFERROR(__xludf.DUMMYFUNCTION("IF(A369&lt;&gt;"""", 
   IF(COUNTA(SPLIT(TRIM(A369), "" ""))=1, 
      LOWER(TRIM(A369)) &amp; ""@zupee.in"", 
      LOWER(INDEX(SPLIT(TRIM(A369), "" ""), 1)) &amp; ""."" &amp; LOWER(INDEX(SPLIT(TRIM(A369), "" ""), COUNTA(SPLIT(TRIM(A369), "" "")))) &amp; ""@zupee.in""
   ), 
"&amp;"   """")"),"")</f>
        <v/>
      </c>
      <c r="C369" s="10"/>
    </row>
    <row r="370" ht="15.75" customHeight="1">
      <c r="A370" s="12"/>
      <c r="B370" s="9" t="str">
        <f>IFERROR(__xludf.DUMMYFUNCTION("IF(A370&lt;&gt;"""", 
   IF(COUNTA(SPLIT(TRIM(A370), "" ""))=1, 
      LOWER(TRIM(A370)) &amp; ""@zupee.in"", 
      LOWER(INDEX(SPLIT(TRIM(A370), "" ""), 1)) &amp; ""."" &amp; LOWER(INDEX(SPLIT(TRIM(A370), "" ""), COUNTA(SPLIT(TRIM(A370), "" "")))) &amp; ""@zupee.in""
   ), 
"&amp;"   """")"),"")</f>
        <v/>
      </c>
      <c r="C370" s="10"/>
    </row>
    <row r="371" ht="15.75" customHeight="1">
      <c r="A371" s="12"/>
      <c r="B371" s="9" t="str">
        <f>IFERROR(__xludf.DUMMYFUNCTION("IF(A371&lt;&gt;"""", 
   IF(COUNTA(SPLIT(TRIM(A371), "" ""))=1, 
      LOWER(TRIM(A371)) &amp; ""@zupee.in"", 
      LOWER(INDEX(SPLIT(TRIM(A371), "" ""), 1)) &amp; ""."" &amp; LOWER(INDEX(SPLIT(TRIM(A371), "" ""), COUNTA(SPLIT(TRIM(A371), "" "")))) &amp; ""@zupee.in""
   ), 
"&amp;"   """")"),"")</f>
        <v/>
      </c>
      <c r="C371" s="10"/>
    </row>
    <row r="372" ht="15.75" customHeight="1">
      <c r="A372" s="12"/>
      <c r="B372" s="9" t="str">
        <f>IFERROR(__xludf.DUMMYFUNCTION("IF(A372&lt;&gt;"""", 
   IF(COUNTA(SPLIT(TRIM(A372), "" ""))=1, 
      LOWER(TRIM(A372)) &amp; ""@zupee.in"", 
      LOWER(INDEX(SPLIT(TRIM(A372), "" ""), 1)) &amp; ""."" &amp; LOWER(INDEX(SPLIT(TRIM(A372), "" ""), COUNTA(SPLIT(TRIM(A372), "" "")))) &amp; ""@zupee.in""
   ), 
"&amp;"   """")"),"")</f>
        <v/>
      </c>
      <c r="C372" s="10"/>
    </row>
    <row r="373" ht="15.75" customHeight="1">
      <c r="A373" s="12"/>
      <c r="B373" s="9" t="str">
        <f>IFERROR(__xludf.DUMMYFUNCTION("IF(A373&lt;&gt;"""", 
   IF(COUNTA(SPLIT(TRIM(A373), "" ""))=1, 
      LOWER(TRIM(A373)) &amp; ""@zupee.in"", 
      LOWER(INDEX(SPLIT(TRIM(A373), "" ""), 1)) &amp; ""."" &amp; LOWER(INDEX(SPLIT(TRIM(A373), "" ""), COUNTA(SPLIT(TRIM(A373), "" "")))) &amp; ""@zupee.in""
   ), 
"&amp;"   """")"),"")</f>
        <v/>
      </c>
      <c r="C373" s="10"/>
    </row>
    <row r="374" ht="15.75" customHeight="1">
      <c r="A374" s="12"/>
      <c r="B374" s="9" t="str">
        <f>IFERROR(__xludf.DUMMYFUNCTION("IF(A374&lt;&gt;"""", 
   IF(COUNTA(SPLIT(TRIM(A374), "" ""))=1, 
      LOWER(TRIM(A374)) &amp; ""@zupee.in"", 
      LOWER(INDEX(SPLIT(TRIM(A374), "" ""), 1)) &amp; ""."" &amp; LOWER(INDEX(SPLIT(TRIM(A374), "" ""), COUNTA(SPLIT(TRIM(A374), "" "")))) &amp; ""@zupee.in""
   ), 
"&amp;"   """")"),"")</f>
        <v/>
      </c>
      <c r="C374" s="10"/>
    </row>
    <row r="375" ht="15.75" customHeight="1">
      <c r="A375" s="12"/>
      <c r="B375" s="9" t="str">
        <f>IFERROR(__xludf.DUMMYFUNCTION("IF(A375&lt;&gt;"""", 
   IF(COUNTA(SPLIT(TRIM(A375), "" ""))=1, 
      LOWER(TRIM(A375)) &amp; ""@zupee.in"", 
      LOWER(INDEX(SPLIT(TRIM(A375), "" ""), 1)) &amp; ""."" &amp; LOWER(INDEX(SPLIT(TRIM(A375), "" ""), COUNTA(SPLIT(TRIM(A375), "" "")))) &amp; ""@zupee.in""
   ), 
"&amp;"   """")"),"")</f>
        <v/>
      </c>
      <c r="C375" s="10"/>
    </row>
    <row r="376" ht="15.75" customHeight="1">
      <c r="A376" s="12"/>
      <c r="B376" s="9" t="str">
        <f>IFERROR(__xludf.DUMMYFUNCTION("IF(A376&lt;&gt;"""", 
   IF(COUNTA(SPLIT(TRIM(A376), "" ""))=1, 
      LOWER(TRIM(A376)) &amp; ""@zupee.in"", 
      LOWER(INDEX(SPLIT(TRIM(A376), "" ""), 1)) &amp; ""."" &amp; LOWER(INDEX(SPLIT(TRIM(A376), "" ""), COUNTA(SPLIT(TRIM(A376), "" "")))) &amp; ""@zupee.in""
   ), 
"&amp;"   """")"),"")</f>
        <v/>
      </c>
      <c r="C376" s="10"/>
    </row>
    <row r="377" ht="15.75" customHeight="1">
      <c r="A377" s="12"/>
      <c r="B377" s="9" t="str">
        <f>IFERROR(__xludf.DUMMYFUNCTION("IF(A377&lt;&gt;"""", 
   IF(COUNTA(SPLIT(TRIM(A377), "" ""))=1, 
      LOWER(TRIM(A377)) &amp; ""@zupee.in"", 
      LOWER(INDEX(SPLIT(TRIM(A377), "" ""), 1)) &amp; ""."" &amp; LOWER(INDEX(SPLIT(TRIM(A377), "" ""), COUNTA(SPLIT(TRIM(A377), "" "")))) &amp; ""@zupee.in""
   ), 
"&amp;"   """")"),"")</f>
        <v/>
      </c>
      <c r="C377" s="10"/>
    </row>
    <row r="378" ht="15.75" customHeight="1">
      <c r="A378" s="12"/>
      <c r="B378" s="9" t="str">
        <f>IFERROR(__xludf.DUMMYFUNCTION("IF(A378&lt;&gt;"""", 
   IF(COUNTA(SPLIT(TRIM(A378), "" ""))=1, 
      LOWER(TRIM(A378)) &amp; ""@zupee.in"", 
      LOWER(INDEX(SPLIT(TRIM(A378), "" ""), 1)) &amp; ""."" &amp; LOWER(INDEX(SPLIT(TRIM(A378), "" ""), COUNTA(SPLIT(TRIM(A378), "" "")))) &amp; ""@zupee.in""
   ), 
"&amp;"   """")"),"")</f>
        <v/>
      </c>
      <c r="C378" s="10"/>
    </row>
    <row r="379" ht="15.75" customHeight="1">
      <c r="A379" s="12"/>
      <c r="B379" s="9" t="str">
        <f>IFERROR(__xludf.DUMMYFUNCTION("IF(A379&lt;&gt;"""", 
   IF(COUNTA(SPLIT(TRIM(A379), "" ""))=1, 
      LOWER(TRIM(A379)) &amp; ""@zupee.in"", 
      LOWER(INDEX(SPLIT(TRIM(A379), "" ""), 1)) &amp; ""."" &amp; LOWER(INDEX(SPLIT(TRIM(A379), "" ""), COUNTA(SPLIT(TRIM(A379), "" "")))) &amp; ""@zupee.in""
   ), 
"&amp;"   """")"),"")</f>
        <v/>
      </c>
      <c r="C379" s="10"/>
    </row>
    <row r="380" ht="15.75" customHeight="1">
      <c r="A380" s="12"/>
      <c r="B380" s="9" t="str">
        <f>IFERROR(__xludf.DUMMYFUNCTION("IF(A380&lt;&gt;"""", 
   IF(COUNTA(SPLIT(TRIM(A380), "" ""))=1, 
      LOWER(TRIM(A380)) &amp; ""@zupee.in"", 
      LOWER(INDEX(SPLIT(TRIM(A380), "" ""), 1)) &amp; ""."" &amp; LOWER(INDEX(SPLIT(TRIM(A380), "" ""), COUNTA(SPLIT(TRIM(A380), "" "")))) &amp; ""@zupee.in""
   ), 
"&amp;"   """")"),"")</f>
        <v/>
      </c>
      <c r="C380" s="10"/>
    </row>
    <row r="381" ht="15.75" customHeight="1">
      <c r="A381" s="12"/>
      <c r="B381" s="9" t="str">
        <f>IFERROR(__xludf.DUMMYFUNCTION("IF(A381&lt;&gt;"""", 
   IF(COUNTA(SPLIT(TRIM(A381), "" ""))=1, 
      LOWER(TRIM(A381)) &amp; ""@zupee.in"", 
      LOWER(INDEX(SPLIT(TRIM(A381), "" ""), 1)) &amp; ""."" &amp; LOWER(INDEX(SPLIT(TRIM(A381), "" ""), COUNTA(SPLIT(TRIM(A381), "" "")))) &amp; ""@zupee.in""
   ), 
"&amp;"   """")"),"")</f>
        <v/>
      </c>
      <c r="C381" s="10"/>
    </row>
    <row r="382" ht="15.75" customHeight="1">
      <c r="A382" s="12"/>
      <c r="B382" s="9" t="str">
        <f>IFERROR(__xludf.DUMMYFUNCTION("IF(A382&lt;&gt;"""", 
   IF(COUNTA(SPLIT(TRIM(A382), "" ""))=1, 
      LOWER(TRIM(A382)) &amp; ""@zupee.in"", 
      LOWER(INDEX(SPLIT(TRIM(A382), "" ""), 1)) &amp; ""."" &amp; LOWER(INDEX(SPLIT(TRIM(A382), "" ""), COUNTA(SPLIT(TRIM(A382), "" "")))) &amp; ""@zupee.in""
   ), 
"&amp;"   """")"),"")</f>
        <v/>
      </c>
      <c r="C382" s="10"/>
    </row>
    <row r="383" ht="15.75" customHeight="1">
      <c r="A383" s="12"/>
      <c r="B383" s="9" t="str">
        <f>IFERROR(__xludf.DUMMYFUNCTION("IF(A383&lt;&gt;"""", 
   IF(COUNTA(SPLIT(TRIM(A383), "" ""))=1, 
      LOWER(TRIM(A383)) &amp; ""@zupee.in"", 
      LOWER(INDEX(SPLIT(TRIM(A383), "" ""), 1)) &amp; ""."" &amp; LOWER(INDEX(SPLIT(TRIM(A383), "" ""), COUNTA(SPLIT(TRIM(A383), "" "")))) &amp; ""@zupee.in""
   ), 
"&amp;"   """")"),"")</f>
        <v/>
      </c>
      <c r="C383" s="10"/>
    </row>
    <row r="384" ht="15.75" customHeight="1">
      <c r="A384" s="12"/>
      <c r="B384" s="9" t="str">
        <f>IFERROR(__xludf.DUMMYFUNCTION("IF(A384&lt;&gt;"""", 
   IF(COUNTA(SPLIT(TRIM(A384), "" ""))=1, 
      LOWER(TRIM(A384)) &amp; ""@zupee.in"", 
      LOWER(INDEX(SPLIT(TRIM(A384), "" ""), 1)) &amp; ""."" &amp; LOWER(INDEX(SPLIT(TRIM(A384), "" ""), COUNTA(SPLIT(TRIM(A384), "" "")))) &amp; ""@zupee.in""
   ), 
"&amp;"   """")"),"")</f>
        <v/>
      </c>
      <c r="C384" s="10"/>
    </row>
    <row r="385" ht="15.75" customHeight="1">
      <c r="A385" s="12"/>
      <c r="B385" s="9" t="str">
        <f>IFERROR(__xludf.DUMMYFUNCTION("IF(A385&lt;&gt;"""", 
   IF(COUNTA(SPLIT(TRIM(A385), "" ""))=1, 
      LOWER(TRIM(A385)) &amp; ""@zupee.in"", 
      LOWER(INDEX(SPLIT(TRIM(A385), "" ""), 1)) &amp; ""."" &amp; LOWER(INDEX(SPLIT(TRIM(A385), "" ""), COUNTA(SPLIT(TRIM(A385), "" "")))) &amp; ""@zupee.in""
   ), 
"&amp;"   """")"),"")</f>
        <v/>
      </c>
      <c r="C385" s="10"/>
    </row>
    <row r="386" ht="15.75" customHeight="1">
      <c r="A386" s="12"/>
      <c r="B386" s="9" t="str">
        <f>IFERROR(__xludf.DUMMYFUNCTION("IF(A386&lt;&gt;"""", 
   IF(COUNTA(SPLIT(TRIM(A386), "" ""))=1, 
      LOWER(TRIM(A386)) &amp; ""@zupee.in"", 
      LOWER(INDEX(SPLIT(TRIM(A386), "" ""), 1)) &amp; ""."" &amp; LOWER(INDEX(SPLIT(TRIM(A386), "" ""), COUNTA(SPLIT(TRIM(A386), "" "")))) &amp; ""@zupee.in""
   ), 
"&amp;"   """")"),"")</f>
        <v/>
      </c>
      <c r="C386" s="10"/>
    </row>
    <row r="387" ht="15.75" customHeight="1">
      <c r="A387" s="12"/>
      <c r="B387" s="9" t="str">
        <f>IFERROR(__xludf.DUMMYFUNCTION("IF(A387&lt;&gt;"""", 
   IF(COUNTA(SPLIT(TRIM(A387), "" ""))=1, 
      LOWER(TRIM(A387)) &amp; ""@zupee.in"", 
      LOWER(INDEX(SPLIT(TRIM(A387), "" ""), 1)) &amp; ""."" &amp; LOWER(INDEX(SPLIT(TRIM(A387), "" ""), COUNTA(SPLIT(TRIM(A387), "" "")))) &amp; ""@zupee.in""
   ), 
"&amp;"   """")"),"")</f>
        <v/>
      </c>
      <c r="C387" s="10"/>
    </row>
    <row r="388" ht="15.75" customHeight="1">
      <c r="A388" s="12"/>
      <c r="B388" s="9" t="str">
        <f>IFERROR(__xludf.DUMMYFUNCTION("IF(A388&lt;&gt;"""", 
   IF(COUNTA(SPLIT(TRIM(A388), "" ""))=1, 
      LOWER(TRIM(A388)) &amp; ""@zupee.in"", 
      LOWER(INDEX(SPLIT(TRIM(A388), "" ""), 1)) &amp; ""."" &amp; LOWER(INDEX(SPLIT(TRIM(A388), "" ""), COUNTA(SPLIT(TRIM(A388), "" "")))) &amp; ""@zupee.in""
   ), 
"&amp;"   """")"),"")</f>
        <v/>
      </c>
      <c r="C388" s="10"/>
    </row>
    <row r="389" ht="15.75" customHeight="1">
      <c r="A389" s="12"/>
      <c r="B389" s="9" t="str">
        <f>IFERROR(__xludf.DUMMYFUNCTION("IF(A389&lt;&gt;"""", 
   IF(COUNTA(SPLIT(TRIM(A389), "" ""))=1, 
      LOWER(TRIM(A389)) &amp; ""@zupee.in"", 
      LOWER(INDEX(SPLIT(TRIM(A389), "" ""), 1)) &amp; ""."" &amp; LOWER(INDEX(SPLIT(TRIM(A389), "" ""), COUNTA(SPLIT(TRIM(A389), "" "")))) &amp; ""@zupee.in""
   ), 
"&amp;"   """")"),"")</f>
        <v/>
      </c>
      <c r="C389" s="10"/>
    </row>
    <row r="390" ht="15.75" customHeight="1">
      <c r="A390" s="12"/>
      <c r="B390" s="9" t="str">
        <f>IFERROR(__xludf.DUMMYFUNCTION("IF(A390&lt;&gt;"""", 
   IF(COUNTA(SPLIT(TRIM(A390), "" ""))=1, 
      LOWER(TRIM(A390)) &amp; ""@zupee.in"", 
      LOWER(INDEX(SPLIT(TRIM(A390), "" ""), 1)) &amp; ""."" &amp; LOWER(INDEX(SPLIT(TRIM(A390), "" ""), COUNTA(SPLIT(TRIM(A390), "" "")))) &amp; ""@zupee.in""
   ), 
"&amp;"   """")"),"")</f>
        <v/>
      </c>
      <c r="C390" s="10"/>
    </row>
    <row r="391" ht="15.75" customHeight="1">
      <c r="A391" s="12"/>
      <c r="B391" s="9" t="str">
        <f>IFERROR(__xludf.DUMMYFUNCTION("IF(A391&lt;&gt;"""", 
   IF(COUNTA(SPLIT(TRIM(A391), "" ""))=1, 
      LOWER(TRIM(A391)) &amp; ""@zupee.in"", 
      LOWER(INDEX(SPLIT(TRIM(A391), "" ""), 1)) &amp; ""."" &amp; LOWER(INDEX(SPLIT(TRIM(A391), "" ""), COUNTA(SPLIT(TRIM(A391), "" "")))) &amp; ""@zupee.in""
   ), 
"&amp;"   """")"),"")</f>
        <v/>
      </c>
      <c r="C391" s="10"/>
    </row>
    <row r="392" ht="15.75" customHeight="1">
      <c r="A392" s="12"/>
      <c r="B392" s="9" t="str">
        <f>IFERROR(__xludf.DUMMYFUNCTION("IF(A392&lt;&gt;"""", 
   IF(COUNTA(SPLIT(TRIM(A392), "" ""))=1, 
      LOWER(TRIM(A392)) &amp; ""@zupee.in"", 
      LOWER(INDEX(SPLIT(TRIM(A392), "" ""), 1)) &amp; ""."" &amp; LOWER(INDEX(SPLIT(TRIM(A392), "" ""), COUNTA(SPLIT(TRIM(A392), "" "")))) &amp; ""@zupee.in""
   ), 
"&amp;"   """")"),"")</f>
        <v/>
      </c>
      <c r="C392" s="10"/>
    </row>
    <row r="393" ht="15.75" customHeight="1">
      <c r="A393" s="12"/>
      <c r="B393" s="9" t="str">
        <f>IFERROR(__xludf.DUMMYFUNCTION("IF(A393&lt;&gt;"""", 
   IF(COUNTA(SPLIT(TRIM(A393), "" ""))=1, 
      LOWER(TRIM(A393)) &amp; ""@zupee.in"", 
      LOWER(INDEX(SPLIT(TRIM(A393), "" ""), 1)) &amp; ""."" &amp; LOWER(INDEX(SPLIT(TRIM(A393), "" ""), COUNTA(SPLIT(TRIM(A393), "" "")))) &amp; ""@zupee.in""
   ), 
"&amp;"   """")"),"")</f>
        <v/>
      </c>
      <c r="C393" s="10"/>
    </row>
    <row r="394" ht="15.75" customHeight="1">
      <c r="A394" s="12"/>
      <c r="B394" s="9" t="str">
        <f>IFERROR(__xludf.DUMMYFUNCTION("IF(A394&lt;&gt;"""", 
   IF(COUNTA(SPLIT(TRIM(A394), "" ""))=1, 
      LOWER(TRIM(A394)) &amp; ""@zupee.in"", 
      LOWER(INDEX(SPLIT(TRIM(A394), "" ""), 1)) &amp; ""."" &amp; LOWER(INDEX(SPLIT(TRIM(A394), "" ""), COUNTA(SPLIT(TRIM(A394), "" "")))) &amp; ""@zupee.in""
   ), 
"&amp;"   """")"),"")</f>
        <v/>
      </c>
      <c r="C394" s="10"/>
    </row>
    <row r="395" ht="15.75" customHeight="1">
      <c r="A395" s="12"/>
      <c r="B395" s="9" t="str">
        <f>IFERROR(__xludf.DUMMYFUNCTION("IF(A395&lt;&gt;"""", 
   IF(COUNTA(SPLIT(TRIM(A395), "" ""))=1, 
      LOWER(TRIM(A395)) &amp; ""@zupee.in"", 
      LOWER(INDEX(SPLIT(TRIM(A395), "" ""), 1)) &amp; ""."" &amp; LOWER(INDEX(SPLIT(TRIM(A395), "" ""), COUNTA(SPLIT(TRIM(A395), "" "")))) &amp; ""@zupee.in""
   ), 
"&amp;"   """")"),"")</f>
        <v/>
      </c>
      <c r="C395" s="10"/>
    </row>
    <row r="396" ht="15.75" customHeight="1">
      <c r="A396" s="12"/>
      <c r="B396" s="9" t="str">
        <f>IFERROR(__xludf.DUMMYFUNCTION("IF(A396&lt;&gt;"""", 
   IF(COUNTA(SPLIT(TRIM(A396), "" ""))=1, 
      LOWER(TRIM(A396)) &amp; ""@zupee.in"", 
      LOWER(INDEX(SPLIT(TRIM(A396), "" ""), 1)) &amp; ""."" &amp; LOWER(INDEX(SPLIT(TRIM(A396), "" ""), COUNTA(SPLIT(TRIM(A396), "" "")))) &amp; ""@zupee.in""
   ), 
"&amp;"   """")"),"")</f>
        <v/>
      </c>
      <c r="C396" s="10"/>
    </row>
    <row r="397" ht="15.75" customHeight="1">
      <c r="A397" s="12"/>
      <c r="B397" s="9" t="str">
        <f>IFERROR(__xludf.DUMMYFUNCTION("IF(A397&lt;&gt;"""", 
   IF(COUNTA(SPLIT(TRIM(A397), "" ""))=1, 
      LOWER(TRIM(A397)) &amp; ""@zupee.in"", 
      LOWER(INDEX(SPLIT(TRIM(A397), "" ""), 1)) &amp; ""."" &amp; LOWER(INDEX(SPLIT(TRIM(A397), "" ""), COUNTA(SPLIT(TRIM(A397), "" "")))) &amp; ""@zupee.in""
   ), 
"&amp;"   """")"),"")</f>
        <v/>
      </c>
      <c r="C397" s="10"/>
    </row>
    <row r="398" ht="15.75" customHeight="1">
      <c r="A398" s="12"/>
      <c r="B398" s="9" t="str">
        <f>IFERROR(__xludf.DUMMYFUNCTION("IF(A398&lt;&gt;"""", 
   IF(COUNTA(SPLIT(TRIM(A398), "" ""))=1, 
      LOWER(TRIM(A398)) &amp; ""@zupee.in"", 
      LOWER(INDEX(SPLIT(TRIM(A398), "" ""), 1)) &amp; ""."" &amp; LOWER(INDEX(SPLIT(TRIM(A398), "" ""), COUNTA(SPLIT(TRIM(A398), "" "")))) &amp; ""@zupee.in""
   ), 
"&amp;"   """")"),"")</f>
        <v/>
      </c>
      <c r="C398" s="10"/>
    </row>
    <row r="399" ht="15.75" customHeight="1">
      <c r="A399" s="12"/>
      <c r="B399" s="9" t="str">
        <f>IFERROR(__xludf.DUMMYFUNCTION("IF(A399&lt;&gt;"""", 
   IF(COUNTA(SPLIT(TRIM(A399), "" ""))=1, 
      LOWER(TRIM(A399)) &amp; ""@zupee.in"", 
      LOWER(INDEX(SPLIT(TRIM(A399), "" ""), 1)) &amp; ""."" &amp; LOWER(INDEX(SPLIT(TRIM(A399), "" ""), COUNTA(SPLIT(TRIM(A399), "" "")))) &amp; ""@zupee.in""
   ), 
"&amp;"   """")"),"")</f>
        <v/>
      </c>
      <c r="C399" s="10"/>
    </row>
    <row r="400" ht="15.75" customHeight="1">
      <c r="A400" s="12"/>
      <c r="B400" s="9" t="str">
        <f>IFERROR(__xludf.DUMMYFUNCTION("IF(A400&lt;&gt;"""", 
   IF(COUNTA(SPLIT(TRIM(A400), "" ""))=1, 
      LOWER(TRIM(A400)) &amp; ""@zupee.in"", 
      LOWER(INDEX(SPLIT(TRIM(A400), "" ""), 1)) &amp; ""."" &amp; LOWER(INDEX(SPLIT(TRIM(A400), "" ""), COUNTA(SPLIT(TRIM(A400), "" "")))) &amp; ""@zupee.in""
   ), 
"&amp;"   """")"),"")</f>
        <v/>
      </c>
      <c r="C400" s="10"/>
    </row>
    <row r="401" ht="15.75" customHeight="1">
      <c r="A401" s="12"/>
      <c r="B401" s="9" t="str">
        <f>IFERROR(__xludf.DUMMYFUNCTION("IF(A401&lt;&gt;"""", 
   IF(COUNTA(SPLIT(TRIM(A401), "" ""))=1, 
      LOWER(TRIM(A401)) &amp; ""@zupee.in"", 
      LOWER(INDEX(SPLIT(TRIM(A401), "" ""), 1)) &amp; ""."" &amp; LOWER(INDEX(SPLIT(TRIM(A401), "" ""), COUNTA(SPLIT(TRIM(A401), "" "")))) &amp; ""@zupee.in""
   ), 
"&amp;"   """")"),"")</f>
        <v/>
      </c>
      <c r="C401" s="10"/>
    </row>
    <row r="402" ht="15.75" customHeight="1">
      <c r="A402" s="12"/>
      <c r="B402" s="9" t="str">
        <f>IFERROR(__xludf.DUMMYFUNCTION("IF(A402&lt;&gt;"""", 
   IF(COUNTA(SPLIT(TRIM(A402), "" ""))=1, 
      LOWER(TRIM(A402)) &amp; ""@zupee.in"", 
      LOWER(INDEX(SPLIT(TRIM(A402), "" ""), 1)) &amp; ""."" &amp; LOWER(INDEX(SPLIT(TRIM(A402), "" ""), COUNTA(SPLIT(TRIM(A402), "" "")))) &amp; ""@zupee.in""
   ), 
"&amp;"   """")"),"")</f>
        <v/>
      </c>
      <c r="C402" s="10"/>
    </row>
    <row r="403" ht="15.75" customHeight="1">
      <c r="A403" s="12"/>
      <c r="B403" s="9" t="str">
        <f>IFERROR(__xludf.DUMMYFUNCTION("IF(A403&lt;&gt;"""", 
   IF(COUNTA(SPLIT(TRIM(A403), "" ""))=1, 
      LOWER(TRIM(A403)) &amp; ""@zupee.in"", 
      LOWER(INDEX(SPLIT(TRIM(A403), "" ""), 1)) &amp; ""."" &amp; LOWER(INDEX(SPLIT(TRIM(A403), "" ""), COUNTA(SPLIT(TRIM(A403), "" "")))) &amp; ""@zupee.in""
   ), 
"&amp;"   """")"),"")</f>
        <v/>
      </c>
      <c r="C403" s="10"/>
    </row>
    <row r="404" ht="15.75" customHeight="1">
      <c r="A404" s="12"/>
      <c r="B404" s="9" t="str">
        <f>IFERROR(__xludf.DUMMYFUNCTION("IF(A404&lt;&gt;"""", 
   IF(COUNTA(SPLIT(TRIM(A404), "" ""))=1, 
      LOWER(TRIM(A404)) &amp; ""@zupee.in"", 
      LOWER(INDEX(SPLIT(TRIM(A404), "" ""), 1)) &amp; ""."" &amp; LOWER(INDEX(SPLIT(TRIM(A404), "" ""), COUNTA(SPLIT(TRIM(A404), "" "")))) &amp; ""@zupee.in""
   ), 
"&amp;"   """")"),"")</f>
        <v/>
      </c>
      <c r="C404" s="10"/>
    </row>
    <row r="405" ht="15.75" customHeight="1">
      <c r="A405" s="12"/>
      <c r="B405" s="9" t="str">
        <f>IFERROR(__xludf.DUMMYFUNCTION("IF(A405&lt;&gt;"""", 
   IF(COUNTA(SPLIT(TRIM(A405), "" ""))=1, 
      LOWER(TRIM(A405)) &amp; ""@zupee.in"", 
      LOWER(INDEX(SPLIT(TRIM(A405), "" ""), 1)) &amp; ""."" &amp; LOWER(INDEX(SPLIT(TRIM(A405), "" ""), COUNTA(SPLIT(TRIM(A405), "" "")))) &amp; ""@zupee.in""
   ), 
"&amp;"   """")"),"")</f>
        <v/>
      </c>
      <c r="C405" s="10"/>
    </row>
    <row r="406" ht="15.75" customHeight="1">
      <c r="A406" s="12"/>
      <c r="B406" s="9" t="str">
        <f>IFERROR(__xludf.DUMMYFUNCTION("IF(A406&lt;&gt;"""", 
   IF(COUNTA(SPLIT(TRIM(A406), "" ""))=1, 
      LOWER(TRIM(A406)) &amp; ""@zupee.in"", 
      LOWER(INDEX(SPLIT(TRIM(A406), "" ""), 1)) &amp; ""."" &amp; LOWER(INDEX(SPLIT(TRIM(A406), "" ""), COUNTA(SPLIT(TRIM(A406), "" "")))) &amp; ""@zupee.in""
   ), 
"&amp;"   """")"),"")</f>
        <v/>
      </c>
      <c r="C406" s="10"/>
    </row>
    <row r="407" ht="15.75" customHeight="1">
      <c r="A407" s="12"/>
      <c r="B407" s="9" t="str">
        <f>IFERROR(__xludf.DUMMYFUNCTION("IF(A407&lt;&gt;"""", 
   IF(COUNTA(SPLIT(TRIM(A407), "" ""))=1, 
      LOWER(TRIM(A407)) &amp; ""@zupee.in"", 
      LOWER(INDEX(SPLIT(TRIM(A407), "" ""), 1)) &amp; ""."" &amp; LOWER(INDEX(SPLIT(TRIM(A407), "" ""), COUNTA(SPLIT(TRIM(A407), "" "")))) &amp; ""@zupee.in""
   ), 
"&amp;"   """")"),"")</f>
        <v/>
      </c>
      <c r="C407" s="10"/>
    </row>
    <row r="408" ht="15.75" customHeight="1">
      <c r="A408" s="12"/>
      <c r="B408" s="9" t="str">
        <f>IFERROR(__xludf.DUMMYFUNCTION("IF(A408&lt;&gt;"""", 
   IF(COUNTA(SPLIT(TRIM(A408), "" ""))=1, 
      LOWER(TRIM(A408)) &amp; ""@zupee.in"", 
      LOWER(INDEX(SPLIT(TRIM(A408), "" ""), 1)) &amp; ""."" &amp; LOWER(INDEX(SPLIT(TRIM(A408), "" ""), COUNTA(SPLIT(TRIM(A408), "" "")))) &amp; ""@zupee.in""
   ), 
"&amp;"   """")"),"")</f>
        <v/>
      </c>
      <c r="C408" s="10"/>
    </row>
    <row r="409" ht="15.75" customHeight="1">
      <c r="A409" s="12"/>
      <c r="B409" s="9" t="str">
        <f>IFERROR(__xludf.DUMMYFUNCTION("IF(A409&lt;&gt;"""", 
   IF(COUNTA(SPLIT(TRIM(A409), "" ""))=1, 
      LOWER(TRIM(A409)) &amp; ""@zupee.in"", 
      LOWER(INDEX(SPLIT(TRIM(A409), "" ""), 1)) &amp; ""."" &amp; LOWER(INDEX(SPLIT(TRIM(A409), "" ""), COUNTA(SPLIT(TRIM(A409), "" "")))) &amp; ""@zupee.in""
   ), 
"&amp;"   """")"),"")</f>
        <v/>
      </c>
      <c r="C409" s="10"/>
    </row>
    <row r="410" ht="15.75" customHeight="1">
      <c r="A410" s="12"/>
      <c r="B410" s="9" t="str">
        <f>IFERROR(__xludf.DUMMYFUNCTION("IF(A410&lt;&gt;"""", 
   IF(COUNTA(SPLIT(TRIM(A410), "" ""))=1, 
      LOWER(TRIM(A410)) &amp; ""@zupee.in"", 
      LOWER(INDEX(SPLIT(TRIM(A410), "" ""), 1)) &amp; ""."" &amp; LOWER(INDEX(SPLIT(TRIM(A410), "" ""), COUNTA(SPLIT(TRIM(A410), "" "")))) &amp; ""@zupee.in""
   ), 
"&amp;"   """")"),"")</f>
        <v/>
      </c>
      <c r="C410" s="10"/>
    </row>
    <row r="411" ht="15.75" customHeight="1">
      <c r="A411" s="12"/>
      <c r="B411" s="9" t="str">
        <f>IFERROR(__xludf.DUMMYFUNCTION("IF(A411&lt;&gt;"""", 
   IF(COUNTA(SPLIT(TRIM(A411), "" ""))=1, 
      LOWER(TRIM(A411)) &amp; ""@zupee.in"", 
      LOWER(INDEX(SPLIT(TRIM(A411), "" ""), 1)) &amp; ""."" &amp; LOWER(INDEX(SPLIT(TRIM(A411), "" ""), COUNTA(SPLIT(TRIM(A411), "" "")))) &amp; ""@zupee.in""
   ), 
"&amp;"   """")"),"")</f>
        <v/>
      </c>
      <c r="C411" s="10"/>
    </row>
    <row r="412" ht="15.75" customHeight="1">
      <c r="A412" s="12"/>
      <c r="B412" s="9" t="str">
        <f>IFERROR(__xludf.DUMMYFUNCTION("IF(A412&lt;&gt;"""", 
   IF(COUNTA(SPLIT(TRIM(A412), "" ""))=1, 
      LOWER(TRIM(A412)) &amp; ""@zupee.in"", 
      LOWER(INDEX(SPLIT(TRIM(A412), "" ""), 1)) &amp; ""."" &amp; LOWER(INDEX(SPLIT(TRIM(A412), "" ""), COUNTA(SPLIT(TRIM(A412), "" "")))) &amp; ""@zupee.in""
   ), 
"&amp;"   """")"),"")</f>
        <v/>
      </c>
      <c r="C412" s="10"/>
    </row>
    <row r="413" ht="15.75" customHeight="1">
      <c r="A413" s="12"/>
      <c r="B413" s="9" t="str">
        <f>IFERROR(__xludf.DUMMYFUNCTION("IF(A413&lt;&gt;"""", 
   IF(COUNTA(SPLIT(TRIM(A413), "" ""))=1, 
      LOWER(TRIM(A413)) &amp; ""@zupee.in"", 
      LOWER(INDEX(SPLIT(TRIM(A413), "" ""), 1)) &amp; ""."" &amp; LOWER(INDEX(SPLIT(TRIM(A413), "" ""), COUNTA(SPLIT(TRIM(A413), "" "")))) &amp; ""@zupee.in""
   ), 
"&amp;"   """")"),"")</f>
        <v/>
      </c>
      <c r="C413" s="10"/>
    </row>
    <row r="414" ht="15.75" customHeight="1">
      <c r="A414" s="12"/>
      <c r="B414" s="9" t="str">
        <f>IFERROR(__xludf.DUMMYFUNCTION("IF(A414&lt;&gt;"""", 
   IF(COUNTA(SPLIT(TRIM(A414), "" ""))=1, 
      LOWER(TRIM(A414)) &amp; ""@zupee.in"", 
      LOWER(INDEX(SPLIT(TRIM(A414), "" ""), 1)) &amp; ""."" &amp; LOWER(INDEX(SPLIT(TRIM(A414), "" ""), COUNTA(SPLIT(TRIM(A414), "" "")))) &amp; ""@zupee.in""
   ), 
"&amp;"   """")"),"")</f>
        <v/>
      </c>
      <c r="C414" s="10"/>
    </row>
    <row r="415" ht="15.75" customHeight="1">
      <c r="A415" s="12"/>
      <c r="B415" s="9" t="str">
        <f>IFERROR(__xludf.DUMMYFUNCTION("IF(A415&lt;&gt;"""", 
   IF(COUNTA(SPLIT(TRIM(A415), "" ""))=1, 
      LOWER(TRIM(A415)) &amp; ""@zupee.in"", 
      LOWER(INDEX(SPLIT(TRIM(A415), "" ""), 1)) &amp; ""."" &amp; LOWER(INDEX(SPLIT(TRIM(A415), "" ""), COUNTA(SPLIT(TRIM(A415), "" "")))) &amp; ""@zupee.in""
   ), 
"&amp;"   """")"),"")</f>
        <v/>
      </c>
      <c r="C415" s="10"/>
    </row>
    <row r="416" ht="15.75" customHeight="1">
      <c r="A416" s="12"/>
      <c r="B416" s="9" t="str">
        <f>IFERROR(__xludf.DUMMYFUNCTION("IF(A416&lt;&gt;"""", 
   IF(COUNTA(SPLIT(TRIM(A416), "" ""))=1, 
      LOWER(TRIM(A416)) &amp; ""@zupee.in"", 
      LOWER(INDEX(SPLIT(TRIM(A416), "" ""), 1)) &amp; ""."" &amp; LOWER(INDEX(SPLIT(TRIM(A416), "" ""), COUNTA(SPLIT(TRIM(A416), "" "")))) &amp; ""@zupee.in""
   ), 
"&amp;"   """")"),"")</f>
        <v/>
      </c>
      <c r="C416" s="10"/>
    </row>
    <row r="417" ht="15.75" customHeight="1">
      <c r="A417" s="12"/>
      <c r="B417" s="9" t="str">
        <f>IFERROR(__xludf.DUMMYFUNCTION("IF(A417&lt;&gt;"""", 
   IF(COUNTA(SPLIT(TRIM(A417), "" ""))=1, 
      LOWER(TRIM(A417)) &amp; ""@zupee.in"", 
      LOWER(INDEX(SPLIT(TRIM(A417), "" ""), 1)) &amp; ""."" &amp; LOWER(INDEX(SPLIT(TRIM(A417), "" ""), COUNTA(SPLIT(TRIM(A417), "" "")))) &amp; ""@zupee.in""
   ), 
"&amp;"   """")"),"")</f>
        <v/>
      </c>
      <c r="C417" s="10"/>
    </row>
    <row r="418" ht="15.75" customHeight="1">
      <c r="A418" s="12"/>
      <c r="B418" s="9" t="str">
        <f>IFERROR(__xludf.DUMMYFUNCTION("IF(A418&lt;&gt;"""", 
   IF(COUNTA(SPLIT(TRIM(A418), "" ""))=1, 
      LOWER(TRIM(A418)) &amp; ""@zupee.in"", 
      LOWER(INDEX(SPLIT(TRIM(A418), "" ""), 1)) &amp; ""."" &amp; LOWER(INDEX(SPLIT(TRIM(A418), "" ""), COUNTA(SPLIT(TRIM(A418), "" "")))) &amp; ""@zupee.in""
   ), 
"&amp;"   """")"),"")</f>
        <v/>
      </c>
      <c r="C418" s="10"/>
    </row>
    <row r="419" ht="15.75" customHeight="1">
      <c r="A419" s="12"/>
      <c r="B419" s="9" t="str">
        <f>IFERROR(__xludf.DUMMYFUNCTION("IF(A419&lt;&gt;"""", 
   IF(COUNTA(SPLIT(TRIM(A419), "" ""))=1, 
      LOWER(TRIM(A419)) &amp; ""@zupee.in"", 
      LOWER(INDEX(SPLIT(TRIM(A419), "" ""), 1)) &amp; ""."" &amp; LOWER(INDEX(SPLIT(TRIM(A419), "" ""), COUNTA(SPLIT(TRIM(A419), "" "")))) &amp; ""@zupee.in""
   ), 
"&amp;"   """")"),"")</f>
        <v/>
      </c>
      <c r="C419" s="10"/>
    </row>
    <row r="420" ht="15.75" customHeight="1">
      <c r="A420" s="12"/>
      <c r="B420" s="9" t="str">
        <f>IFERROR(__xludf.DUMMYFUNCTION("IF(A420&lt;&gt;"""", 
   IF(COUNTA(SPLIT(TRIM(A420), "" ""))=1, 
      LOWER(TRIM(A420)) &amp; ""@zupee.in"", 
      LOWER(INDEX(SPLIT(TRIM(A420), "" ""), 1)) &amp; ""."" &amp; LOWER(INDEX(SPLIT(TRIM(A420), "" ""), COUNTA(SPLIT(TRIM(A420), "" "")))) &amp; ""@zupee.in""
   ), 
"&amp;"   """")"),"")</f>
        <v/>
      </c>
      <c r="C420" s="10"/>
    </row>
    <row r="421" ht="15.75" customHeight="1">
      <c r="A421" s="12"/>
      <c r="B421" s="9" t="str">
        <f>IFERROR(__xludf.DUMMYFUNCTION("IF(A421&lt;&gt;"""", 
   IF(COUNTA(SPLIT(TRIM(A421), "" ""))=1, 
      LOWER(TRIM(A421)) &amp; ""@zupee.in"", 
      LOWER(INDEX(SPLIT(TRIM(A421), "" ""), 1)) &amp; ""."" &amp; LOWER(INDEX(SPLIT(TRIM(A421), "" ""), COUNTA(SPLIT(TRIM(A421), "" "")))) &amp; ""@zupee.in""
   ), 
"&amp;"   """")"),"")</f>
        <v/>
      </c>
      <c r="C421" s="10"/>
    </row>
    <row r="422" ht="15.75" customHeight="1">
      <c r="A422" s="12"/>
      <c r="B422" s="9" t="str">
        <f>IFERROR(__xludf.DUMMYFUNCTION("IF(A422&lt;&gt;"""", 
   IF(COUNTA(SPLIT(TRIM(A422), "" ""))=1, 
      LOWER(TRIM(A422)) &amp; ""@zupee.in"", 
      LOWER(INDEX(SPLIT(TRIM(A422), "" ""), 1)) &amp; ""."" &amp; LOWER(INDEX(SPLIT(TRIM(A422), "" ""), COUNTA(SPLIT(TRIM(A422), "" "")))) &amp; ""@zupee.in""
   ), 
"&amp;"   """")"),"")</f>
        <v/>
      </c>
      <c r="C422" s="10"/>
    </row>
    <row r="423" ht="15.75" customHeight="1">
      <c r="A423" s="12"/>
      <c r="B423" s="9" t="str">
        <f>IFERROR(__xludf.DUMMYFUNCTION("IF(A423&lt;&gt;"""", 
   IF(COUNTA(SPLIT(TRIM(A423), "" ""))=1, 
      LOWER(TRIM(A423)) &amp; ""@zupee.in"", 
      LOWER(INDEX(SPLIT(TRIM(A423), "" ""), 1)) &amp; ""."" &amp; LOWER(INDEX(SPLIT(TRIM(A423), "" ""), COUNTA(SPLIT(TRIM(A423), "" "")))) &amp; ""@zupee.in""
   ), 
"&amp;"   """")"),"")</f>
        <v/>
      </c>
      <c r="C423" s="10"/>
    </row>
    <row r="424" ht="15.75" customHeight="1">
      <c r="A424" s="12"/>
      <c r="B424" s="9" t="str">
        <f>IFERROR(__xludf.DUMMYFUNCTION("IF(A424&lt;&gt;"""", 
   IF(COUNTA(SPLIT(TRIM(A424), "" ""))=1, 
      LOWER(TRIM(A424)) &amp; ""@zupee.in"", 
      LOWER(INDEX(SPLIT(TRIM(A424), "" ""), 1)) &amp; ""."" &amp; LOWER(INDEX(SPLIT(TRIM(A424), "" ""), COUNTA(SPLIT(TRIM(A424), "" "")))) &amp; ""@zupee.in""
   ), 
"&amp;"   """")"),"")</f>
        <v/>
      </c>
      <c r="C424" s="10"/>
    </row>
    <row r="425" ht="15.75" customHeight="1">
      <c r="A425" s="12"/>
      <c r="B425" s="9" t="str">
        <f>IFERROR(__xludf.DUMMYFUNCTION("IF(A425&lt;&gt;"""", 
   IF(COUNTA(SPLIT(TRIM(A425), "" ""))=1, 
      LOWER(TRIM(A425)) &amp; ""@zupee.in"", 
      LOWER(INDEX(SPLIT(TRIM(A425), "" ""), 1)) &amp; ""."" &amp; LOWER(INDEX(SPLIT(TRIM(A425), "" ""), COUNTA(SPLIT(TRIM(A425), "" "")))) &amp; ""@zupee.in""
   ), 
"&amp;"   """")"),"")</f>
        <v/>
      </c>
      <c r="C425" s="10"/>
    </row>
    <row r="426" ht="15.75" customHeight="1">
      <c r="A426" s="12"/>
      <c r="B426" s="9" t="str">
        <f>IFERROR(__xludf.DUMMYFUNCTION("IF(A426&lt;&gt;"""", 
   IF(COUNTA(SPLIT(TRIM(A426), "" ""))=1, 
      LOWER(TRIM(A426)) &amp; ""@zupee.in"", 
      LOWER(INDEX(SPLIT(TRIM(A426), "" ""), 1)) &amp; ""."" &amp; LOWER(INDEX(SPLIT(TRIM(A426), "" ""), COUNTA(SPLIT(TRIM(A426), "" "")))) &amp; ""@zupee.in""
   ), 
"&amp;"   """")"),"")</f>
        <v/>
      </c>
      <c r="C426" s="10"/>
    </row>
    <row r="427" ht="15.75" customHeight="1">
      <c r="A427" s="12"/>
      <c r="B427" s="9" t="str">
        <f>IFERROR(__xludf.DUMMYFUNCTION("IF(A427&lt;&gt;"""", 
   IF(COUNTA(SPLIT(TRIM(A427), "" ""))=1, 
      LOWER(TRIM(A427)) &amp; ""@zupee.in"", 
      LOWER(INDEX(SPLIT(TRIM(A427), "" ""), 1)) &amp; ""."" &amp; LOWER(INDEX(SPLIT(TRIM(A427), "" ""), COUNTA(SPLIT(TRIM(A427), "" "")))) &amp; ""@zupee.in""
   ), 
"&amp;"   """")"),"")</f>
        <v/>
      </c>
      <c r="C427" s="10"/>
    </row>
    <row r="428" ht="15.75" customHeight="1">
      <c r="A428" s="12"/>
      <c r="B428" s="9" t="str">
        <f>IFERROR(__xludf.DUMMYFUNCTION("IF(A428&lt;&gt;"""", 
   IF(COUNTA(SPLIT(TRIM(A428), "" ""))=1, 
      LOWER(TRIM(A428)) &amp; ""@zupee.in"", 
      LOWER(INDEX(SPLIT(TRIM(A428), "" ""), 1)) &amp; ""."" &amp; LOWER(INDEX(SPLIT(TRIM(A428), "" ""), COUNTA(SPLIT(TRIM(A428), "" "")))) &amp; ""@zupee.in""
   ), 
"&amp;"   """")"),"")</f>
        <v/>
      </c>
      <c r="C428" s="10"/>
    </row>
    <row r="429" ht="15.75" customHeight="1">
      <c r="A429" s="12"/>
      <c r="B429" s="9" t="str">
        <f>IFERROR(__xludf.DUMMYFUNCTION("IF(A429&lt;&gt;"""", 
   IF(COUNTA(SPLIT(TRIM(A429), "" ""))=1, 
      LOWER(TRIM(A429)) &amp; ""@zupee.in"", 
      LOWER(INDEX(SPLIT(TRIM(A429), "" ""), 1)) &amp; ""."" &amp; LOWER(INDEX(SPLIT(TRIM(A429), "" ""), COUNTA(SPLIT(TRIM(A429), "" "")))) &amp; ""@zupee.in""
   ), 
"&amp;"   """")"),"")</f>
        <v/>
      </c>
      <c r="C429" s="10"/>
    </row>
    <row r="430" ht="15.75" customHeight="1">
      <c r="A430" s="12"/>
      <c r="B430" s="9" t="str">
        <f>IFERROR(__xludf.DUMMYFUNCTION("IF(A430&lt;&gt;"""", 
   IF(COUNTA(SPLIT(TRIM(A430), "" ""))=1, 
      LOWER(TRIM(A430)) &amp; ""@zupee.in"", 
      LOWER(INDEX(SPLIT(TRIM(A430), "" ""), 1)) &amp; ""."" &amp; LOWER(INDEX(SPLIT(TRIM(A430), "" ""), COUNTA(SPLIT(TRIM(A430), "" "")))) &amp; ""@zupee.in""
   ), 
"&amp;"   """")"),"")</f>
        <v/>
      </c>
      <c r="C430" s="10"/>
    </row>
    <row r="431" ht="15.75" customHeight="1">
      <c r="A431" s="12"/>
      <c r="B431" s="9" t="str">
        <f>IFERROR(__xludf.DUMMYFUNCTION("IF(A431&lt;&gt;"""", 
   IF(COUNTA(SPLIT(TRIM(A431), "" ""))=1, 
      LOWER(TRIM(A431)) &amp; ""@zupee.in"", 
      LOWER(INDEX(SPLIT(TRIM(A431), "" ""), 1)) &amp; ""."" &amp; LOWER(INDEX(SPLIT(TRIM(A431), "" ""), COUNTA(SPLIT(TRIM(A431), "" "")))) &amp; ""@zupee.in""
   ), 
"&amp;"   """")"),"")</f>
        <v/>
      </c>
      <c r="C431" s="10"/>
    </row>
    <row r="432" ht="15.75" customHeight="1">
      <c r="A432" s="12"/>
      <c r="B432" s="9" t="str">
        <f>IFERROR(__xludf.DUMMYFUNCTION("IF(A432&lt;&gt;"""", 
   IF(COUNTA(SPLIT(TRIM(A432), "" ""))=1, 
      LOWER(TRIM(A432)) &amp; ""@zupee.in"", 
      LOWER(INDEX(SPLIT(TRIM(A432), "" ""), 1)) &amp; ""."" &amp; LOWER(INDEX(SPLIT(TRIM(A432), "" ""), COUNTA(SPLIT(TRIM(A432), "" "")))) &amp; ""@zupee.in""
   ), 
"&amp;"   """")"),"")</f>
        <v/>
      </c>
      <c r="C432" s="10"/>
    </row>
    <row r="433" ht="15.75" customHeight="1">
      <c r="A433" s="12"/>
      <c r="B433" s="9" t="str">
        <f>IFERROR(__xludf.DUMMYFUNCTION("IF(A433&lt;&gt;"""", 
   IF(COUNTA(SPLIT(TRIM(A433), "" ""))=1, 
      LOWER(TRIM(A433)) &amp; ""@zupee.in"", 
      LOWER(INDEX(SPLIT(TRIM(A433), "" ""), 1)) &amp; ""."" &amp; LOWER(INDEX(SPLIT(TRIM(A433), "" ""), COUNTA(SPLIT(TRIM(A433), "" "")))) &amp; ""@zupee.in""
   ), 
"&amp;"   """")"),"")</f>
        <v/>
      </c>
      <c r="C433" s="10"/>
    </row>
    <row r="434" ht="15.75" customHeight="1">
      <c r="A434" s="12"/>
      <c r="B434" s="9" t="str">
        <f>IFERROR(__xludf.DUMMYFUNCTION("IF(A434&lt;&gt;"""", 
   IF(COUNTA(SPLIT(TRIM(A434), "" ""))=1, 
      LOWER(TRIM(A434)) &amp; ""@zupee.in"", 
      LOWER(INDEX(SPLIT(TRIM(A434), "" ""), 1)) &amp; ""."" &amp; LOWER(INDEX(SPLIT(TRIM(A434), "" ""), COUNTA(SPLIT(TRIM(A434), "" "")))) &amp; ""@zupee.in""
   ), 
"&amp;"   """")"),"")</f>
        <v/>
      </c>
      <c r="C434" s="10"/>
    </row>
    <row r="435" ht="15.75" customHeight="1">
      <c r="A435" s="12"/>
      <c r="B435" s="9" t="str">
        <f>IFERROR(__xludf.DUMMYFUNCTION("IF(A435&lt;&gt;"""", 
   IF(COUNTA(SPLIT(TRIM(A435), "" ""))=1, 
      LOWER(TRIM(A435)) &amp; ""@zupee.in"", 
      LOWER(INDEX(SPLIT(TRIM(A435), "" ""), 1)) &amp; ""."" &amp; LOWER(INDEX(SPLIT(TRIM(A435), "" ""), COUNTA(SPLIT(TRIM(A435), "" "")))) &amp; ""@zupee.in""
   ), 
"&amp;"   """")"),"")</f>
        <v/>
      </c>
      <c r="C435" s="10"/>
    </row>
    <row r="436" ht="15.75" customHeight="1">
      <c r="A436" s="12"/>
      <c r="B436" s="9" t="str">
        <f>IFERROR(__xludf.DUMMYFUNCTION("IF(A436&lt;&gt;"""", 
   IF(COUNTA(SPLIT(TRIM(A436), "" ""))=1, 
      LOWER(TRIM(A436)) &amp; ""@zupee.in"", 
      LOWER(INDEX(SPLIT(TRIM(A436), "" ""), 1)) &amp; ""."" &amp; LOWER(INDEX(SPLIT(TRIM(A436), "" ""), COUNTA(SPLIT(TRIM(A436), "" "")))) &amp; ""@zupee.in""
   ), 
"&amp;"   """")"),"")</f>
        <v/>
      </c>
      <c r="C436" s="10"/>
    </row>
    <row r="437" ht="15.75" customHeight="1">
      <c r="A437" s="12"/>
      <c r="B437" s="9" t="str">
        <f>IFERROR(__xludf.DUMMYFUNCTION("IF(A437&lt;&gt;"""", 
   IF(COUNTA(SPLIT(TRIM(A437), "" ""))=1, 
      LOWER(TRIM(A437)) &amp; ""@zupee.in"", 
      LOWER(INDEX(SPLIT(TRIM(A437), "" ""), 1)) &amp; ""."" &amp; LOWER(INDEX(SPLIT(TRIM(A437), "" ""), COUNTA(SPLIT(TRIM(A437), "" "")))) &amp; ""@zupee.in""
   ), 
"&amp;"   """")"),"")</f>
        <v/>
      </c>
      <c r="C437" s="10"/>
    </row>
    <row r="438" ht="15.75" customHeight="1">
      <c r="A438" s="12"/>
      <c r="B438" s="9" t="str">
        <f>IFERROR(__xludf.DUMMYFUNCTION("IF(A438&lt;&gt;"""", 
   IF(COUNTA(SPLIT(TRIM(A438), "" ""))=1, 
      LOWER(TRIM(A438)) &amp; ""@zupee.in"", 
      LOWER(INDEX(SPLIT(TRIM(A438), "" ""), 1)) &amp; ""."" &amp; LOWER(INDEX(SPLIT(TRIM(A438), "" ""), COUNTA(SPLIT(TRIM(A438), "" "")))) &amp; ""@zupee.in""
   ), 
"&amp;"   """")"),"")</f>
        <v/>
      </c>
      <c r="C438" s="10"/>
    </row>
    <row r="439" ht="15.75" customHeight="1">
      <c r="A439" s="12"/>
      <c r="B439" s="9" t="str">
        <f>IFERROR(__xludf.DUMMYFUNCTION("IF(A439&lt;&gt;"""", 
   IF(COUNTA(SPLIT(TRIM(A439), "" ""))=1, 
      LOWER(TRIM(A439)) &amp; ""@zupee.in"", 
      LOWER(INDEX(SPLIT(TRIM(A439), "" ""), 1)) &amp; ""."" &amp; LOWER(INDEX(SPLIT(TRIM(A439), "" ""), COUNTA(SPLIT(TRIM(A439), "" "")))) &amp; ""@zupee.in""
   ), 
"&amp;"   """")"),"")</f>
        <v/>
      </c>
      <c r="C439" s="10"/>
    </row>
    <row r="440" ht="15.75" customHeight="1">
      <c r="A440" s="12"/>
      <c r="B440" s="9" t="str">
        <f>IFERROR(__xludf.DUMMYFUNCTION("IF(A440&lt;&gt;"""", 
   IF(COUNTA(SPLIT(TRIM(A440), "" ""))=1, 
      LOWER(TRIM(A440)) &amp; ""@zupee.in"", 
      LOWER(INDEX(SPLIT(TRIM(A440), "" ""), 1)) &amp; ""."" &amp; LOWER(INDEX(SPLIT(TRIM(A440), "" ""), COUNTA(SPLIT(TRIM(A440), "" "")))) &amp; ""@zupee.in""
   ), 
"&amp;"   """")"),"")</f>
        <v/>
      </c>
      <c r="C440" s="10"/>
    </row>
    <row r="441" ht="15.75" customHeight="1">
      <c r="A441" s="12"/>
      <c r="B441" s="9" t="str">
        <f>IFERROR(__xludf.DUMMYFUNCTION("IF(A441&lt;&gt;"""", 
   IF(COUNTA(SPLIT(TRIM(A441), "" ""))=1, 
      LOWER(TRIM(A441)) &amp; ""@zupee.in"", 
      LOWER(INDEX(SPLIT(TRIM(A441), "" ""), 1)) &amp; ""."" &amp; LOWER(INDEX(SPLIT(TRIM(A441), "" ""), COUNTA(SPLIT(TRIM(A441), "" "")))) &amp; ""@zupee.in""
   ), 
"&amp;"   """")"),"")</f>
        <v/>
      </c>
      <c r="C441" s="10"/>
    </row>
    <row r="442" ht="15.75" customHeight="1">
      <c r="A442" s="12"/>
      <c r="B442" s="9" t="str">
        <f>IFERROR(__xludf.DUMMYFUNCTION("IF(A442&lt;&gt;"""", 
   IF(COUNTA(SPLIT(TRIM(A442), "" ""))=1, 
      LOWER(TRIM(A442)) &amp; ""@zupee.in"", 
      LOWER(INDEX(SPLIT(TRIM(A442), "" ""), 1)) &amp; ""."" &amp; LOWER(INDEX(SPLIT(TRIM(A442), "" ""), COUNTA(SPLIT(TRIM(A442), "" "")))) &amp; ""@zupee.in""
   ), 
"&amp;"   """")"),"")</f>
        <v/>
      </c>
      <c r="C442" s="10"/>
    </row>
    <row r="443" ht="15.75" customHeight="1">
      <c r="A443" s="12"/>
      <c r="B443" s="9" t="str">
        <f>IFERROR(__xludf.DUMMYFUNCTION("IF(A443&lt;&gt;"""", 
   IF(COUNTA(SPLIT(TRIM(A443), "" ""))=1, 
      LOWER(TRIM(A443)) &amp; ""@zupee.in"", 
      LOWER(INDEX(SPLIT(TRIM(A443), "" ""), 1)) &amp; ""."" &amp; LOWER(INDEX(SPLIT(TRIM(A443), "" ""), COUNTA(SPLIT(TRIM(A443), "" "")))) &amp; ""@zupee.in""
   ), 
"&amp;"   """")"),"")</f>
        <v/>
      </c>
      <c r="C443" s="10"/>
    </row>
    <row r="444" ht="15.75" customHeight="1">
      <c r="A444" s="12"/>
      <c r="B444" s="9" t="str">
        <f>IFERROR(__xludf.DUMMYFUNCTION("IF(A444&lt;&gt;"""", 
   IF(COUNTA(SPLIT(TRIM(A444), "" ""))=1, 
      LOWER(TRIM(A444)) &amp; ""@zupee.in"", 
      LOWER(INDEX(SPLIT(TRIM(A444), "" ""), 1)) &amp; ""."" &amp; LOWER(INDEX(SPLIT(TRIM(A444), "" ""), COUNTA(SPLIT(TRIM(A444), "" "")))) &amp; ""@zupee.in""
   ), 
"&amp;"   """")"),"")</f>
        <v/>
      </c>
      <c r="C444" s="10"/>
    </row>
    <row r="445" ht="15.75" customHeight="1">
      <c r="A445" s="12"/>
      <c r="B445" s="9" t="str">
        <f>IFERROR(__xludf.DUMMYFUNCTION("IF(A445&lt;&gt;"""", 
   IF(COUNTA(SPLIT(TRIM(A445), "" ""))=1, 
      LOWER(TRIM(A445)) &amp; ""@zupee.in"", 
      LOWER(INDEX(SPLIT(TRIM(A445), "" ""), 1)) &amp; ""."" &amp; LOWER(INDEX(SPLIT(TRIM(A445), "" ""), COUNTA(SPLIT(TRIM(A445), "" "")))) &amp; ""@zupee.in""
   ), 
"&amp;"   """")"),"")</f>
        <v/>
      </c>
      <c r="C445" s="10"/>
    </row>
    <row r="446" ht="15.75" customHeight="1">
      <c r="A446" s="12"/>
      <c r="B446" s="9" t="str">
        <f>IFERROR(__xludf.DUMMYFUNCTION("IF(A446&lt;&gt;"""", 
   IF(COUNTA(SPLIT(TRIM(A446), "" ""))=1, 
      LOWER(TRIM(A446)) &amp; ""@zupee.in"", 
      LOWER(INDEX(SPLIT(TRIM(A446), "" ""), 1)) &amp; ""."" &amp; LOWER(INDEX(SPLIT(TRIM(A446), "" ""), COUNTA(SPLIT(TRIM(A446), "" "")))) &amp; ""@zupee.in""
   ), 
"&amp;"   """")"),"")</f>
        <v/>
      </c>
      <c r="C446" s="10"/>
    </row>
    <row r="447" ht="15.75" customHeight="1">
      <c r="A447" s="12"/>
      <c r="B447" s="9" t="str">
        <f>IFERROR(__xludf.DUMMYFUNCTION("IF(A447&lt;&gt;"""", 
   IF(COUNTA(SPLIT(TRIM(A447), "" ""))=1, 
      LOWER(TRIM(A447)) &amp; ""@zupee.in"", 
      LOWER(INDEX(SPLIT(TRIM(A447), "" ""), 1)) &amp; ""."" &amp; LOWER(INDEX(SPLIT(TRIM(A447), "" ""), COUNTA(SPLIT(TRIM(A447), "" "")))) &amp; ""@zupee.in""
   ), 
"&amp;"   """")"),"")</f>
        <v/>
      </c>
      <c r="C447" s="10"/>
    </row>
    <row r="448" ht="15.75" customHeight="1">
      <c r="A448" s="12"/>
      <c r="B448" s="9" t="str">
        <f>IFERROR(__xludf.DUMMYFUNCTION("IF(A448&lt;&gt;"""", 
   IF(COUNTA(SPLIT(TRIM(A448), "" ""))=1, 
      LOWER(TRIM(A448)) &amp; ""@zupee.in"", 
      LOWER(INDEX(SPLIT(TRIM(A448), "" ""), 1)) &amp; ""."" &amp; LOWER(INDEX(SPLIT(TRIM(A448), "" ""), COUNTA(SPLIT(TRIM(A448), "" "")))) &amp; ""@zupee.in""
   ), 
"&amp;"   """")"),"")</f>
        <v/>
      </c>
      <c r="C448" s="10"/>
    </row>
    <row r="449" ht="15.75" customHeight="1">
      <c r="A449" s="12"/>
      <c r="B449" s="9" t="str">
        <f>IFERROR(__xludf.DUMMYFUNCTION("IF(A449&lt;&gt;"""", 
   IF(COUNTA(SPLIT(TRIM(A449), "" ""))=1, 
      LOWER(TRIM(A449)) &amp; ""@zupee.in"", 
      LOWER(INDEX(SPLIT(TRIM(A449), "" ""), 1)) &amp; ""."" &amp; LOWER(INDEX(SPLIT(TRIM(A449), "" ""), COUNTA(SPLIT(TRIM(A449), "" "")))) &amp; ""@zupee.in""
   ), 
"&amp;"   """")"),"")</f>
        <v/>
      </c>
      <c r="C449" s="10"/>
    </row>
    <row r="450" ht="15.75" customHeight="1">
      <c r="A450" s="12"/>
      <c r="B450" s="9" t="str">
        <f>IFERROR(__xludf.DUMMYFUNCTION("IF(A450&lt;&gt;"""", 
   IF(COUNTA(SPLIT(TRIM(A450), "" ""))=1, 
      LOWER(TRIM(A450)) &amp; ""@zupee.in"", 
      LOWER(INDEX(SPLIT(TRIM(A450), "" ""), 1)) &amp; ""."" &amp; LOWER(INDEX(SPLIT(TRIM(A450), "" ""), COUNTA(SPLIT(TRIM(A450), "" "")))) &amp; ""@zupee.in""
   ), 
"&amp;"   """")"),"")</f>
        <v/>
      </c>
      <c r="C450" s="10"/>
    </row>
    <row r="451" ht="15.75" customHeight="1">
      <c r="A451" s="12"/>
      <c r="B451" s="9" t="str">
        <f>IFERROR(__xludf.DUMMYFUNCTION("IF(A451&lt;&gt;"""", 
   IF(COUNTA(SPLIT(TRIM(A451), "" ""))=1, 
      LOWER(TRIM(A451)) &amp; ""@zupee.in"", 
      LOWER(INDEX(SPLIT(TRIM(A451), "" ""), 1)) &amp; ""."" &amp; LOWER(INDEX(SPLIT(TRIM(A451), "" ""), COUNTA(SPLIT(TRIM(A451), "" "")))) &amp; ""@zupee.in""
   ), 
"&amp;"   """")"),"")</f>
        <v/>
      </c>
      <c r="C451" s="10"/>
    </row>
    <row r="452" ht="15.75" customHeight="1">
      <c r="A452" s="12"/>
      <c r="B452" s="9" t="str">
        <f>IFERROR(__xludf.DUMMYFUNCTION("IF(A452&lt;&gt;"""", 
   IF(COUNTA(SPLIT(TRIM(A452), "" ""))=1, 
      LOWER(TRIM(A452)) &amp; ""@zupee.in"", 
      LOWER(INDEX(SPLIT(TRIM(A452), "" ""), 1)) &amp; ""."" &amp; LOWER(INDEX(SPLIT(TRIM(A452), "" ""), COUNTA(SPLIT(TRIM(A452), "" "")))) &amp; ""@zupee.in""
   ), 
"&amp;"   """")"),"")</f>
        <v/>
      </c>
      <c r="C452" s="10"/>
    </row>
    <row r="453" ht="15.75" customHeight="1">
      <c r="A453" s="12"/>
      <c r="B453" s="9" t="str">
        <f>IFERROR(__xludf.DUMMYFUNCTION("IF(A453&lt;&gt;"""", 
   IF(COUNTA(SPLIT(TRIM(A453), "" ""))=1, 
      LOWER(TRIM(A453)) &amp; ""@zupee.in"", 
      LOWER(INDEX(SPLIT(TRIM(A453), "" ""), 1)) &amp; ""."" &amp; LOWER(INDEX(SPLIT(TRIM(A453), "" ""), COUNTA(SPLIT(TRIM(A453), "" "")))) &amp; ""@zupee.in""
   ), 
"&amp;"   """")"),"")</f>
        <v/>
      </c>
      <c r="C453" s="10"/>
    </row>
    <row r="454" ht="15.75" customHeight="1">
      <c r="A454" s="12"/>
      <c r="B454" s="9" t="str">
        <f>IFERROR(__xludf.DUMMYFUNCTION("IF(A454&lt;&gt;"""", 
   IF(COUNTA(SPLIT(TRIM(A454), "" ""))=1, 
      LOWER(TRIM(A454)) &amp; ""@zupee.in"", 
      LOWER(INDEX(SPLIT(TRIM(A454), "" ""), 1)) &amp; ""."" &amp; LOWER(INDEX(SPLIT(TRIM(A454), "" ""), COUNTA(SPLIT(TRIM(A454), "" "")))) &amp; ""@zupee.in""
   ), 
"&amp;"   """")"),"")</f>
        <v/>
      </c>
      <c r="C454" s="10"/>
    </row>
    <row r="455" ht="15.75" customHeight="1">
      <c r="A455" s="12"/>
      <c r="B455" s="9" t="str">
        <f>IFERROR(__xludf.DUMMYFUNCTION("IF(A455&lt;&gt;"""", 
   IF(COUNTA(SPLIT(TRIM(A455), "" ""))=1, 
      LOWER(TRIM(A455)) &amp; ""@zupee.in"", 
      LOWER(INDEX(SPLIT(TRIM(A455), "" ""), 1)) &amp; ""."" &amp; LOWER(INDEX(SPLIT(TRIM(A455), "" ""), COUNTA(SPLIT(TRIM(A455), "" "")))) &amp; ""@zupee.in""
   ), 
"&amp;"   """")"),"")</f>
        <v/>
      </c>
      <c r="C455" s="10"/>
    </row>
    <row r="456" ht="15.75" customHeight="1">
      <c r="A456" s="12"/>
      <c r="B456" s="9" t="str">
        <f>IFERROR(__xludf.DUMMYFUNCTION("IF(A456&lt;&gt;"""", 
   IF(COUNTA(SPLIT(TRIM(A456), "" ""))=1, 
      LOWER(TRIM(A456)) &amp; ""@zupee.in"", 
      LOWER(INDEX(SPLIT(TRIM(A456), "" ""), 1)) &amp; ""."" &amp; LOWER(INDEX(SPLIT(TRIM(A456), "" ""), COUNTA(SPLIT(TRIM(A456), "" "")))) &amp; ""@zupee.in""
   ), 
"&amp;"   """")"),"")</f>
        <v/>
      </c>
      <c r="C456" s="10"/>
    </row>
    <row r="457" ht="15.75" customHeight="1">
      <c r="A457" s="12"/>
      <c r="B457" s="9" t="str">
        <f>IFERROR(__xludf.DUMMYFUNCTION("IF(A457&lt;&gt;"""", 
   IF(COUNTA(SPLIT(TRIM(A457), "" ""))=1, 
      LOWER(TRIM(A457)) &amp; ""@zupee.in"", 
      LOWER(INDEX(SPLIT(TRIM(A457), "" ""), 1)) &amp; ""."" &amp; LOWER(INDEX(SPLIT(TRIM(A457), "" ""), COUNTA(SPLIT(TRIM(A457), "" "")))) &amp; ""@zupee.in""
   ), 
"&amp;"   """")"),"")</f>
        <v/>
      </c>
      <c r="C457" s="10"/>
    </row>
    <row r="458" ht="15.75" customHeight="1">
      <c r="A458" s="12"/>
      <c r="B458" s="9" t="str">
        <f>IFERROR(__xludf.DUMMYFUNCTION("IF(A458&lt;&gt;"""", 
   IF(COUNTA(SPLIT(TRIM(A458), "" ""))=1, 
      LOWER(TRIM(A458)) &amp; ""@zupee.in"", 
      LOWER(INDEX(SPLIT(TRIM(A458), "" ""), 1)) &amp; ""."" &amp; LOWER(INDEX(SPLIT(TRIM(A458), "" ""), COUNTA(SPLIT(TRIM(A458), "" "")))) &amp; ""@zupee.in""
   ), 
"&amp;"   """")"),"")</f>
        <v/>
      </c>
      <c r="C458" s="10"/>
    </row>
    <row r="459" ht="15.75" customHeight="1">
      <c r="A459" s="12"/>
      <c r="B459" s="9" t="str">
        <f>IFERROR(__xludf.DUMMYFUNCTION("IF(A459&lt;&gt;"""", 
   IF(COUNTA(SPLIT(TRIM(A459), "" ""))=1, 
      LOWER(TRIM(A459)) &amp; ""@zupee.in"", 
      LOWER(INDEX(SPLIT(TRIM(A459), "" ""), 1)) &amp; ""."" &amp; LOWER(INDEX(SPLIT(TRIM(A459), "" ""), COUNTA(SPLIT(TRIM(A459), "" "")))) &amp; ""@zupee.in""
   ), 
"&amp;"   """")"),"")</f>
        <v/>
      </c>
      <c r="C459" s="10"/>
    </row>
    <row r="460" ht="15.75" customHeight="1">
      <c r="A460" s="12"/>
      <c r="B460" s="9" t="str">
        <f>IFERROR(__xludf.DUMMYFUNCTION("IF(A460&lt;&gt;"""", 
   IF(COUNTA(SPLIT(TRIM(A460), "" ""))=1, 
      LOWER(TRIM(A460)) &amp; ""@zupee.in"", 
      LOWER(INDEX(SPLIT(TRIM(A460), "" ""), 1)) &amp; ""."" &amp; LOWER(INDEX(SPLIT(TRIM(A460), "" ""), COUNTA(SPLIT(TRIM(A460), "" "")))) &amp; ""@zupee.in""
   ), 
"&amp;"   """")"),"")</f>
        <v/>
      </c>
      <c r="C460" s="10"/>
    </row>
    <row r="461" ht="15.75" customHeight="1">
      <c r="A461" s="12"/>
      <c r="B461" s="9" t="str">
        <f>IFERROR(__xludf.DUMMYFUNCTION("IF(A461&lt;&gt;"""", 
   IF(COUNTA(SPLIT(TRIM(A461), "" ""))=1, 
      LOWER(TRIM(A461)) &amp; ""@zupee.in"", 
      LOWER(INDEX(SPLIT(TRIM(A461), "" ""), 1)) &amp; ""."" &amp; LOWER(INDEX(SPLIT(TRIM(A461), "" ""), COUNTA(SPLIT(TRIM(A461), "" "")))) &amp; ""@zupee.in""
   ), 
"&amp;"   """")"),"")</f>
        <v/>
      </c>
      <c r="C461" s="10"/>
    </row>
    <row r="462" ht="15.75" customHeight="1">
      <c r="A462" s="12"/>
      <c r="B462" s="9" t="str">
        <f>IFERROR(__xludf.DUMMYFUNCTION("IF(A462&lt;&gt;"""", 
   IF(COUNTA(SPLIT(TRIM(A462), "" ""))=1, 
      LOWER(TRIM(A462)) &amp; ""@zupee.in"", 
      LOWER(INDEX(SPLIT(TRIM(A462), "" ""), 1)) &amp; ""."" &amp; LOWER(INDEX(SPLIT(TRIM(A462), "" ""), COUNTA(SPLIT(TRIM(A462), "" "")))) &amp; ""@zupee.in""
   ), 
"&amp;"   """")"),"")</f>
        <v/>
      </c>
      <c r="C462" s="10"/>
    </row>
    <row r="463" ht="15.75" customHeight="1">
      <c r="A463" s="12"/>
      <c r="B463" s="9" t="str">
        <f>IFERROR(__xludf.DUMMYFUNCTION("IF(A463&lt;&gt;"""", 
   IF(COUNTA(SPLIT(TRIM(A463), "" ""))=1, 
      LOWER(TRIM(A463)) &amp; ""@zupee.in"", 
      LOWER(INDEX(SPLIT(TRIM(A463), "" ""), 1)) &amp; ""."" &amp; LOWER(INDEX(SPLIT(TRIM(A463), "" ""), COUNTA(SPLIT(TRIM(A463), "" "")))) &amp; ""@zupee.in""
   ), 
"&amp;"   """")"),"")</f>
        <v/>
      </c>
      <c r="C463" s="10"/>
    </row>
    <row r="464" ht="15.75" customHeight="1">
      <c r="A464" s="12"/>
      <c r="B464" s="9" t="str">
        <f>IFERROR(__xludf.DUMMYFUNCTION("IF(A464&lt;&gt;"""", 
   IF(COUNTA(SPLIT(TRIM(A464), "" ""))=1, 
      LOWER(TRIM(A464)) &amp; ""@zupee.in"", 
      LOWER(INDEX(SPLIT(TRIM(A464), "" ""), 1)) &amp; ""."" &amp; LOWER(INDEX(SPLIT(TRIM(A464), "" ""), COUNTA(SPLIT(TRIM(A464), "" "")))) &amp; ""@zupee.in""
   ), 
"&amp;"   """")"),"")</f>
        <v/>
      </c>
      <c r="C464" s="10"/>
    </row>
    <row r="465" ht="15.75" customHeight="1">
      <c r="A465" s="12"/>
      <c r="B465" s="9" t="str">
        <f>IFERROR(__xludf.DUMMYFUNCTION("IF(A465&lt;&gt;"""", 
   IF(COUNTA(SPLIT(TRIM(A465), "" ""))=1, 
      LOWER(TRIM(A465)) &amp; ""@zupee.in"", 
      LOWER(INDEX(SPLIT(TRIM(A465), "" ""), 1)) &amp; ""."" &amp; LOWER(INDEX(SPLIT(TRIM(A465), "" ""), COUNTA(SPLIT(TRIM(A465), "" "")))) &amp; ""@zupee.in""
   ), 
"&amp;"   """")"),"")</f>
        <v/>
      </c>
      <c r="C465" s="10"/>
    </row>
    <row r="466" ht="15.75" customHeight="1">
      <c r="A466" s="12"/>
      <c r="B466" s="9" t="str">
        <f>IFERROR(__xludf.DUMMYFUNCTION("IF(A466&lt;&gt;"""", 
   IF(COUNTA(SPLIT(TRIM(A466), "" ""))=1, 
      LOWER(TRIM(A466)) &amp; ""@zupee.in"", 
      LOWER(INDEX(SPLIT(TRIM(A466), "" ""), 1)) &amp; ""."" &amp; LOWER(INDEX(SPLIT(TRIM(A466), "" ""), COUNTA(SPLIT(TRIM(A466), "" "")))) &amp; ""@zupee.in""
   ), 
"&amp;"   """")"),"")</f>
        <v/>
      </c>
      <c r="C466" s="10"/>
    </row>
    <row r="467" ht="15.75" customHeight="1">
      <c r="A467" s="12"/>
      <c r="B467" s="9" t="str">
        <f>IFERROR(__xludf.DUMMYFUNCTION("IF(A467&lt;&gt;"""", 
   IF(COUNTA(SPLIT(TRIM(A467), "" ""))=1, 
      LOWER(TRIM(A467)) &amp; ""@zupee.in"", 
      LOWER(INDEX(SPLIT(TRIM(A467), "" ""), 1)) &amp; ""."" &amp; LOWER(INDEX(SPLIT(TRIM(A467), "" ""), COUNTA(SPLIT(TRIM(A467), "" "")))) &amp; ""@zupee.in""
   ), 
"&amp;"   """")"),"")</f>
        <v/>
      </c>
      <c r="C467" s="10"/>
    </row>
    <row r="468" ht="15.75" customHeight="1">
      <c r="A468" s="12"/>
      <c r="B468" s="9" t="str">
        <f>IFERROR(__xludf.DUMMYFUNCTION("IF(A468&lt;&gt;"""", 
   IF(COUNTA(SPLIT(TRIM(A468), "" ""))=1, 
      LOWER(TRIM(A468)) &amp; ""@zupee.in"", 
      LOWER(INDEX(SPLIT(TRIM(A468), "" ""), 1)) &amp; ""."" &amp; LOWER(INDEX(SPLIT(TRIM(A468), "" ""), COUNTA(SPLIT(TRIM(A468), "" "")))) &amp; ""@zupee.in""
   ), 
"&amp;"   """")"),"")</f>
        <v/>
      </c>
      <c r="C468" s="10"/>
    </row>
    <row r="469" ht="15.75" customHeight="1">
      <c r="A469" s="12"/>
      <c r="B469" s="9" t="str">
        <f>IFERROR(__xludf.DUMMYFUNCTION("IF(A469&lt;&gt;"""", 
   IF(COUNTA(SPLIT(TRIM(A469), "" ""))=1, 
      LOWER(TRIM(A469)) &amp; ""@zupee.in"", 
      LOWER(INDEX(SPLIT(TRIM(A469), "" ""), 1)) &amp; ""."" &amp; LOWER(INDEX(SPLIT(TRIM(A469), "" ""), COUNTA(SPLIT(TRIM(A469), "" "")))) &amp; ""@zupee.in""
   ), 
"&amp;"   """")"),"")</f>
        <v/>
      </c>
      <c r="C469" s="10"/>
    </row>
    <row r="470" ht="15.75" customHeight="1">
      <c r="A470" s="12"/>
      <c r="B470" s="9" t="str">
        <f>IFERROR(__xludf.DUMMYFUNCTION("IF(A470&lt;&gt;"""", 
   IF(COUNTA(SPLIT(TRIM(A470), "" ""))=1, 
      LOWER(TRIM(A470)) &amp; ""@zupee.in"", 
      LOWER(INDEX(SPLIT(TRIM(A470), "" ""), 1)) &amp; ""."" &amp; LOWER(INDEX(SPLIT(TRIM(A470), "" ""), COUNTA(SPLIT(TRIM(A470), "" "")))) &amp; ""@zupee.in""
   ), 
"&amp;"   """")"),"")</f>
        <v/>
      </c>
      <c r="C470" s="10"/>
    </row>
    <row r="471" ht="15.75" customHeight="1">
      <c r="A471" s="12"/>
      <c r="B471" s="9" t="str">
        <f>IFERROR(__xludf.DUMMYFUNCTION("IF(A471&lt;&gt;"""", 
   IF(COUNTA(SPLIT(TRIM(A471), "" ""))=1, 
      LOWER(TRIM(A471)) &amp; ""@zupee.in"", 
      LOWER(INDEX(SPLIT(TRIM(A471), "" ""), 1)) &amp; ""."" &amp; LOWER(INDEX(SPLIT(TRIM(A471), "" ""), COUNTA(SPLIT(TRIM(A471), "" "")))) &amp; ""@zupee.in""
   ), 
"&amp;"   """")"),"")</f>
        <v/>
      </c>
      <c r="C471" s="10"/>
    </row>
    <row r="472" ht="15.75" customHeight="1">
      <c r="A472" s="12"/>
      <c r="B472" s="9" t="str">
        <f>IFERROR(__xludf.DUMMYFUNCTION("IF(A472&lt;&gt;"""", 
   IF(COUNTA(SPLIT(TRIM(A472), "" ""))=1, 
      LOWER(TRIM(A472)) &amp; ""@zupee.in"", 
      LOWER(INDEX(SPLIT(TRIM(A472), "" ""), 1)) &amp; ""."" &amp; LOWER(INDEX(SPLIT(TRIM(A472), "" ""), COUNTA(SPLIT(TRIM(A472), "" "")))) &amp; ""@zupee.in""
   ), 
"&amp;"   """")"),"")</f>
        <v/>
      </c>
      <c r="C472" s="10"/>
    </row>
    <row r="473" ht="15.75" customHeight="1">
      <c r="A473" s="12"/>
      <c r="B473" s="9" t="str">
        <f>IFERROR(__xludf.DUMMYFUNCTION("IF(A473&lt;&gt;"""", 
   IF(COUNTA(SPLIT(TRIM(A473), "" ""))=1, 
      LOWER(TRIM(A473)) &amp; ""@zupee.in"", 
      LOWER(INDEX(SPLIT(TRIM(A473), "" ""), 1)) &amp; ""."" &amp; LOWER(INDEX(SPLIT(TRIM(A473), "" ""), COUNTA(SPLIT(TRIM(A473), "" "")))) &amp; ""@zupee.in""
   ), 
"&amp;"   """")"),"")</f>
        <v/>
      </c>
      <c r="C473" s="10"/>
    </row>
    <row r="474" ht="15.75" customHeight="1">
      <c r="A474" s="12"/>
      <c r="B474" s="9" t="str">
        <f>IFERROR(__xludf.DUMMYFUNCTION("IF(A474&lt;&gt;"""", 
   IF(COUNTA(SPLIT(TRIM(A474), "" ""))=1, 
      LOWER(TRIM(A474)) &amp; ""@zupee.in"", 
      LOWER(INDEX(SPLIT(TRIM(A474), "" ""), 1)) &amp; ""."" &amp; LOWER(INDEX(SPLIT(TRIM(A474), "" ""), COUNTA(SPLIT(TRIM(A474), "" "")))) &amp; ""@zupee.in""
   ), 
"&amp;"   """")"),"")</f>
        <v/>
      </c>
      <c r="C474" s="10"/>
    </row>
    <row r="475" ht="15.75" customHeight="1">
      <c r="A475" s="12"/>
      <c r="B475" s="9" t="str">
        <f>IFERROR(__xludf.DUMMYFUNCTION("IF(A475&lt;&gt;"""", 
   IF(COUNTA(SPLIT(TRIM(A475), "" ""))=1, 
      LOWER(TRIM(A475)) &amp; ""@zupee.in"", 
      LOWER(INDEX(SPLIT(TRIM(A475), "" ""), 1)) &amp; ""."" &amp; LOWER(INDEX(SPLIT(TRIM(A475), "" ""), COUNTA(SPLIT(TRIM(A475), "" "")))) &amp; ""@zupee.in""
   ), 
"&amp;"   """")"),"")</f>
        <v/>
      </c>
      <c r="C475" s="10"/>
    </row>
    <row r="476" ht="15.75" customHeight="1">
      <c r="A476" s="12"/>
      <c r="B476" s="9" t="str">
        <f>IFERROR(__xludf.DUMMYFUNCTION("IF(A476&lt;&gt;"""", 
   IF(COUNTA(SPLIT(TRIM(A476), "" ""))=1, 
      LOWER(TRIM(A476)) &amp; ""@zupee.in"", 
      LOWER(INDEX(SPLIT(TRIM(A476), "" ""), 1)) &amp; ""."" &amp; LOWER(INDEX(SPLIT(TRIM(A476), "" ""), COUNTA(SPLIT(TRIM(A476), "" "")))) &amp; ""@zupee.in""
   ), 
"&amp;"   """")"),"")</f>
        <v/>
      </c>
      <c r="C476" s="10"/>
    </row>
    <row r="477" ht="15.75" customHeight="1">
      <c r="A477" s="12"/>
      <c r="B477" s="9" t="str">
        <f>IFERROR(__xludf.DUMMYFUNCTION("IF(A477&lt;&gt;"""", 
   IF(COUNTA(SPLIT(TRIM(A477), "" ""))=1, 
      LOWER(TRIM(A477)) &amp; ""@zupee.in"", 
      LOWER(INDEX(SPLIT(TRIM(A477), "" ""), 1)) &amp; ""."" &amp; LOWER(INDEX(SPLIT(TRIM(A477), "" ""), COUNTA(SPLIT(TRIM(A477), "" "")))) &amp; ""@zupee.in""
   ), 
"&amp;"   """")"),"")</f>
        <v/>
      </c>
      <c r="C477" s="10"/>
    </row>
    <row r="478" ht="15.75" customHeight="1">
      <c r="A478" s="12"/>
      <c r="B478" s="9" t="str">
        <f>IFERROR(__xludf.DUMMYFUNCTION("IF(A478&lt;&gt;"""", 
   IF(COUNTA(SPLIT(TRIM(A478), "" ""))=1, 
      LOWER(TRIM(A478)) &amp; ""@zupee.in"", 
      LOWER(INDEX(SPLIT(TRIM(A478), "" ""), 1)) &amp; ""."" &amp; LOWER(INDEX(SPLIT(TRIM(A478), "" ""), COUNTA(SPLIT(TRIM(A478), "" "")))) &amp; ""@zupee.in""
   ), 
"&amp;"   """")"),"")</f>
        <v/>
      </c>
      <c r="C478" s="10"/>
    </row>
    <row r="479" ht="15.75" customHeight="1">
      <c r="A479" s="12"/>
      <c r="B479" s="9" t="str">
        <f>IFERROR(__xludf.DUMMYFUNCTION("IF(A479&lt;&gt;"""", 
   IF(COUNTA(SPLIT(TRIM(A479), "" ""))=1, 
      LOWER(TRIM(A479)) &amp; ""@zupee.in"", 
      LOWER(INDEX(SPLIT(TRIM(A479), "" ""), 1)) &amp; ""."" &amp; LOWER(INDEX(SPLIT(TRIM(A479), "" ""), COUNTA(SPLIT(TRIM(A479), "" "")))) &amp; ""@zupee.in""
   ), 
"&amp;"   """")"),"")</f>
        <v/>
      </c>
      <c r="C479" s="10"/>
    </row>
    <row r="480" ht="15.75" customHeight="1">
      <c r="A480" s="12"/>
      <c r="B480" s="9" t="str">
        <f>IFERROR(__xludf.DUMMYFUNCTION("IF(A480&lt;&gt;"""", 
   IF(COUNTA(SPLIT(TRIM(A480), "" ""))=1, 
      LOWER(TRIM(A480)) &amp; ""@zupee.in"", 
      LOWER(INDEX(SPLIT(TRIM(A480), "" ""), 1)) &amp; ""."" &amp; LOWER(INDEX(SPLIT(TRIM(A480), "" ""), COUNTA(SPLIT(TRIM(A480), "" "")))) &amp; ""@zupee.in""
   ), 
"&amp;"   """")"),"")</f>
        <v/>
      </c>
      <c r="C480" s="10"/>
    </row>
    <row r="481" ht="15.75" customHeight="1">
      <c r="A481" s="12"/>
      <c r="B481" s="9" t="str">
        <f>IFERROR(__xludf.DUMMYFUNCTION("IF(A481&lt;&gt;"""", 
   IF(COUNTA(SPLIT(TRIM(A481), "" ""))=1, 
      LOWER(TRIM(A481)) &amp; ""@zupee.in"", 
      LOWER(INDEX(SPLIT(TRIM(A481), "" ""), 1)) &amp; ""."" &amp; LOWER(INDEX(SPLIT(TRIM(A481), "" ""), COUNTA(SPLIT(TRIM(A481), "" "")))) &amp; ""@zupee.in""
   ), 
"&amp;"   """")"),"")</f>
        <v/>
      </c>
      <c r="C481" s="10"/>
    </row>
    <row r="482" ht="15.75" customHeight="1">
      <c r="A482" s="12"/>
      <c r="B482" s="9" t="str">
        <f>IFERROR(__xludf.DUMMYFUNCTION("IF(A482&lt;&gt;"""", 
   IF(COUNTA(SPLIT(TRIM(A482), "" ""))=1, 
      LOWER(TRIM(A482)) &amp; ""@zupee.in"", 
      LOWER(INDEX(SPLIT(TRIM(A482), "" ""), 1)) &amp; ""."" &amp; LOWER(INDEX(SPLIT(TRIM(A482), "" ""), COUNTA(SPLIT(TRIM(A482), "" "")))) &amp; ""@zupee.in""
   ), 
"&amp;"   """")"),"")</f>
        <v/>
      </c>
      <c r="C482" s="10"/>
    </row>
    <row r="483" ht="15.75" customHeight="1">
      <c r="A483" s="12"/>
      <c r="B483" s="9" t="str">
        <f>IFERROR(__xludf.DUMMYFUNCTION("IF(A483&lt;&gt;"""", 
   IF(COUNTA(SPLIT(TRIM(A483), "" ""))=1, 
      LOWER(TRIM(A483)) &amp; ""@zupee.in"", 
      LOWER(INDEX(SPLIT(TRIM(A483), "" ""), 1)) &amp; ""."" &amp; LOWER(INDEX(SPLIT(TRIM(A483), "" ""), COUNTA(SPLIT(TRIM(A483), "" "")))) &amp; ""@zupee.in""
   ), 
"&amp;"   """")"),"")</f>
        <v/>
      </c>
      <c r="C483" s="10"/>
    </row>
    <row r="484" ht="15.75" customHeight="1">
      <c r="A484" s="12"/>
      <c r="B484" s="9" t="str">
        <f>IFERROR(__xludf.DUMMYFUNCTION("IF(A484&lt;&gt;"""", 
   IF(COUNTA(SPLIT(TRIM(A484), "" ""))=1, 
      LOWER(TRIM(A484)) &amp; ""@zupee.in"", 
      LOWER(INDEX(SPLIT(TRIM(A484), "" ""), 1)) &amp; ""."" &amp; LOWER(INDEX(SPLIT(TRIM(A484), "" ""), COUNTA(SPLIT(TRIM(A484), "" "")))) &amp; ""@zupee.in""
   ), 
"&amp;"   """")"),"")</f>
        <v/>
      </c>
      <c r="C484" s="10"/>
    </row>
    <row r="485" ht="15.75" customHeight="1">
      <c r="A485" s="12"/>
      <c r="B485" s="9" t="str">
        <f>IFERROR(__xludf.DUMMYFUNCTION("IF(A485&lt;&gt;"""", 
   IF(COUNTA(SPLIT(TRIM(A485), "" ""))=1, 
      LOWER(TRIM(A485)) &amp; ""@zupee.in"", 
      LOWER(INDEX(SPLIT(TRIM(A485), "" ""), 1)) &amp; ""."" &amp; LOWER(INDEX(SPLIT(TRIM(A485), "" ""), COUNTA(SPLIT(TRIM(A485), "" "")))) &amp; ""@zupee.in""
   ), 
"&amp;"   """")"),"")</f>
        <v/>
      </c>
      <c r="C485" s="10"/>
    </row>
    <row r="486" ht="15.75" customHeight="1">
      <c r="A486" s="12"/>
      <c r="B486" s="9" t="str">
        <f>IFERROR(__xludf.DUMMYFUNCTION("IF(A486&lt;&gt;"""", 
   IF(COUNTA(SPLIT(TRIM(A486), "" ""))=1, 
      LOWER(TRIM(A486)) &amp; ""@zupee.in"", 
      LOWER(INDEX(SPLIT(TRIM(A486), "" ""), 1)) &amp; ""."" &amp; LOWER(INDEX(SPLIT(TRIM(A486), "" ""), COUNTA(SPLIT(TRIM(A486), "" "")))) &amp; ""@zupee.in""
   ), 
"&amp;"   """")"),"")</f>
        <v/>
      </c>
      <c r="C486" s="10"/>
    </row>
    <row r="487" ht="15.75" customHeight="1">
      <c r="A487" s="12"/>
      <c r="B487" s="9" t="str">
        <f>IFERROR(__xludf.DUMMYFUNCTION("IF(A487&lt;&gt;"""", 
   IF(COUNTA(SPLIT(TRIM(A487), "" ""))=1, 
      LOWER(TRIM(A487)) &amp; ""@zupee.in"", 
      LOWER(INDEX(SPLIT(TRIM(A487), "" ""), 1)) &amp; ""."" &amp; LOWER(INDEX(SPLIT(TRIM(A487), "" ""), COUNTA(SPLIT(TRIM(A487), "" "")))) &amp; ""@zupee.in""
   ), 
"&amp;"   """")"),"")</f>
        <v/>
      </c>
      <c r="C487" s="10"/>
    </row>
    <row r="488" ht="15.75" customHeight="1">
      <c r="A488" s="12"/>
      <c r="B488" s="9" t="str">
        <f>IFERROR(__xludf.DUMMYFUNCTION("IF(A488&lt;&gt;"""", 
   IF(COUNTA(SPLIT(TRIM(A488), "" ""))=1, 
      LOWER(TRIM(A488)) &amp; ""@zupee.in"", 
      LOWER(INDEX(SPLIT(TRIM(A488), "" ""), 1)) &amp; ""."" &amp; LOWER(INDEX(SPLIT(TRIM(A488), "" ""), COUNTA(SPLIT(TRIM(A488), "" "")))) &amp; ""@zupee.in""
   ), 
"&amp;"   """")"),"")</f>
        <v/>
      </c>
      <c r="C488" s="10"/>
    </row>
    <row r="489" ht="15.75" customHeight="1">
      <c r="A489" s="12"/>
      <c r="B489" s="9" t="str">
        <f>IFERROR(__xludf.DUMMYFUNCTION("IF(A489&lt;&gt;"""", 
   IF(COUNTA(SPLIT(TRIM(A489), "" ""))=1, 
      LOWER(TRIM(A489)) &amp; ""@zupee.in"", 
      LOWER(INDEX(SPLIT(TRIM(A489), "" ""), 1)) &amp; ""."" &amp; LOWER(INDEX(SPLIT(TRIM(A489), "" ""), COUNTA(SPLIT(TRIM(A489), "" "")))) &amp; ""@zupee.in""
   ), 
"&amp;"   """")"),"")</f>
        <v/>
      </c>
      <c r="C489" s="10"/>
    </row>
    <row r="490" ht="15.75" customHeight="1">
      <c r="A490" s="12"/>
      <c r="B490" s="9" t="str">
        <f>IFERROR(__xludf.DUMMYFUNCTION("IF(A490&lt;&gt;"""", 
   IF(COUNTA(SPLIT(TRIM(A490), "" ""))=1, 
      LOWER(TRIM(A490)) &amp; ""@zupee.in"", 
      LOWER(INDEX(SPLIT(TRIM(A490), "" ""), 1)) &amp; ""."" &amp; LOWER(INDEX(SPLIT(TRIM(A490), "" ""), COUNTA(SPLIT(TRIM(A490), "" "")))) &amp; ""@zupee.in""
   ), 
"&amp;"   """")"),"")</f>
        <v/>
      </c>
      <c r="C490" s="10"/>
    </row>
    <row r="491" ht="15.75" customHeight="1">
      <c r="A491" s="12"/>
      <c r="B491" s="9" t="str">
        <f>IFERROR(__xludf.DUMMYFUNCTION("IF(A491&lt;&gt;"""", 
   IF(COUNTA(SPLIT(TRIM(A491), "" ""))=1, 
      LOWER(TRIM(A491)) &amp; ""@zupee.in"", 
      LOWER(INDEX(SPLIT(TRIM(A491), "" ""), 1)) &amp; ""."" &amp; LOWER(INDEX(SPLIT(TRIM(A491), "" ""), COUNTA(SPLIT(TRIM(A491), "" "")))) &amp; ""@zupee.in""
   ), 
"&amp;"   """")"),"")</f>
        <v/>
      </c>
      <c r="C491" s="10"/>
    </row>
    <row r="492" ht="15.75" customHeight="1">
      <c r="A492" s="12"/>
      <c r="B492" s="9" t="str">
        <f>IFERROR(__xludf.DUMMYFUNCTION("IF(A492&lt;&gt;"""", 
   IF(COUNTA(SPLIT(TRIM(A492), "" ""))=1, 
      LOWER(TRIM(A492)) &amp; ""@zupee.in"", 
      LOWER(INDEX(SPLIT(TRIM(A492), "" ""), 1)) &amp; ""."" &amp; LOWER(INDEX(SPLIT(TRIM(A492), "" ""), COUNTA(SPLIT(TRIM(A492), "" "")))) &amp; ""@zupee.in""
   ), 
"&amp;"   """")"),"")</f>
        <v/>
      </c>
      <c r="C492" s="10"/>
    </row>
    <row r="493" ht="15.75" customHeight="1">
      <c r="A493" s="12"/>
      <c r="B493" s="9" t="str">
        <f>IFERROR(__xludf.DUMMYFUNCTION("IF(A493&lt;&gt;"""", 
   IF(COUNTA(SPLIT(TRIM(A493), "" ""))=1, 
      LOWER(TRIM(A493)) &amp; ""@zupee.in"", 
      LOWER(INDEX(SPLIT(TRIM(A493), "" ""), 1)) &amp; ""."" &amp; LOWER(INDEX(SPLIT(TRIM(A493), "" ""), COUNTA(SPLIT(TRIM(A493), "" "")))) &amp; ""@zupee.in""
   ), 
"&amp;"   """")"),"")</f>
        <v/>
      </c>
      <c r="C493" s="10"/>
    </row>
    <row r="494" ht="15.75" customHeight="1">
      <c r="A494" s="12"/>
      <c r="B494" s="9" t="str">
        <f>IFERROR(__xludf.DUMMYFUNCTION("IF(A494&lt;&gt;"""", 
   IF(COUNTA(SPLIT(TRIM(A494), "" ""))=1, 
      LOWER(TRIM(A494)) &amp; ""@zupee.in"", 
      LOWER(INDEX(SPLIT(TRIM(A494), "" ""), 1)) &amp; ""."" &amp; LOWER(INDEX(SPLIT(TRIM(A494), "" ""), COUNTA(SPLIT(TRIM(A494), "" "")))) &amp; ""@zupee.in""
   ), 
"&amp;"   """")"),"")</f>
        <v/>
      </c>
      <c r="C494" s="10"/>
    </row>
    <row r="495" ht="15.75" customHeight="1">
      <c r="A495" s="12"/>
      <c r="B495" s="9" t="str">
        <f>IFERROR(__xludf.DUMMYFUNCTION("IF(A495&lt;&gt;"""", 
   IF(COUNTA(SPLIT(TRIM(A495), "" ""))=1, 
      LOWER(TRIM(A495)) &amp; ""@zupee.in"", 
      LOWER(INDEX(SPLIT(TRIM(A495), "" ""), 1)) &amp; ""."" &amp; LOWER(INDEX(SPLIT(TRIM(A495), "" ""), COUNTA(SPLIT(TRIM(A495), "" "")))) &amp; ""@zupee.in""
   ), 
"&amp;"   """")"),"")</f>
        <v/>
      </c>
      <c r="C495" s="10"/>
    </row>
    <row r="496" ht="15.75" customHeight="1">
      <c r="A496" s="12"/>
      <c r="B496" s="9" t="str">
        <f>IFERROR(__xludf.DUMMYFUNCTION("IF(A496&lt;&gt;"""", 
   IF(COUNTA(SPLIT(TRIM(A496), "" ""))=1, 
      LOWER(TRIM(A496)) &amp; ""@zupee.in"", 
      LOWER(INDEX(SPLIT(TRIM(A496), "" ""), 1)) &amp; ""."" &amp; LOWER(INDEX(SPLIT(TRIM(A496), "" ""), COUNTA(SPLIT(TRIM(A496), "" "")))) &amp; ""@zupee.in""
   ), 
"&amp;"   """")"),"")</f>
        <v/>
      </c>
      <c r="C496" s="10"/>
    </row>
    <row r="497" ht="15.75" customHeight="1">
      <c r="A497" s="12"/>
      <c r="B497" s="9" t="str">
        <f>IFERROR(__xludf.DUMMYFUNCTION("IF(A497&lt;&gt;"""", 
   IF(COUNTA(SPLIT(TRIM(A497), "" ""))=1, 
      LOWER(TRIM(A497)) &amp; ""@zupee.in"", 
      LOWER(INDEX(SPLIT(TRIM(A497), "" ""), 1)) &amp; ""."" &amp; LOWER(INDEX(SPLIT(TRIM(A497), "" ""), COUNTA(SPLIT(TRIM(A497), "" "")))) &amp; ""@zupee.in""
   ), 
"&amp;"   """")"),"")</f>
        <v/>
      </c>
      <c r="C497" s="10"/>
    </row>
    <row r="498" ht="15.75" customHeight="1">
      <c r="A498" s="12"/>
      <c r="B498" s="9" t="str">
        <f>IFERROR(__xludf.DUMMYFUNCTION("IF(A498&lt;&gt;"""", 
   IF(COUNTA(SPLIT(TRIM(A498), "" ""))=1, 
      LOWER(TRIM(A498)) &amp; ""@zupee.in"", 
      LOWER(INDEX(SPLIT(TRIM(A498), "" ""), 1)) &amp; ""."" &amp; LOWER(INDEX(SPLIT(TRIM(A498), "" ""), COUNTA(SPLIT(TRIM(A498), "" "")))) &amp; ""@zupee.in""
   ), 
"&amp;"   """")"),"")</f>
        <v/>
      </c>
      <c r="C498" s="10"/>
    </row>
    <row r="499" ht="15.75" customHeight="1">
      <c r="A499" s="12"/>
      <c r="B499" s="9" t="str">
        <f>IFERROR(__xludf.DUMMYFUNCTION("IF(A499&lt;&gt;"""", 
   IF(COUNTA(SPLIT(TRIM(A499), "" ""))=1, 
      LOWER(TRIM(A499)) &amp; ""@zupee.in"", 
      LOWER(INDEX(SPLIT(TRIM(A499), "" ""), 1)) &amp; ""."" &amp; LOWER(INDEX(SPLIT(TRIM(A499), "" ""), COUNTA(SPLIT(TRIM(A499), "" "")))) &amp; ""@zupee.in""
   ), 
"&amp;"   """")"),"")</f>
        <v/>
      </c>
      <c r="C499" s="10"/>
    </row>
    <row r="500" ht="15.75" customHeight="1">
      <c r="A500" s="12"/>
      <c r="B500" s="9" t="str">
        <f>IFERROR(__xludf.DUMMYFUNCTION("IF(A500&lt;&gt;"""", 
   IF(COUNTA(SPLIT(TRIM(A500), "" ""))=1, 
      LOWER(TRIM(A500)) &amp; ""@zupee.in"", 
      LOWER(INDEX(SPLIT(TRIM(A500), "" ""), 1)) &amp; ""."" &amp; LOWER(INDEX(SPLIT(TRIM(A500), "" ""), COUNTA(SPLIT(TRIM(A500), "" "")))) &amp; ""@zupee.in""
   ), 
"&amp;"   """")"),"")</f>
        <v/>
      </c>
      <c r="C500" s="10"/>
    </row>
    <row r="501" ht="15.75" customHeight="1">
      <c r="A501" s="12"/>
      <c r="B501" s="9" t="str">
        <f>IFERROR(__xludf.DUMMYFUNCTION("IF(A501&lt;&gt;"""", 
   IF(COUNTA(SPLIT(TRIM(A501), "" ""))=1, 
      LOWER(TRIM(A501)) &amp; ""@zupee.in"", 
      LOWER(INDEX(SPLIT(TRIM(A501), "" ""), 1)) &amp; ""."" &amp; LOWER(INDEX(SPLIT(TRIM(A501), "" ""), COUNTA(SPLIT(TRIM(A501), "" "")))) &amp; ""@zupee.in""
   ), 
"&amp;"   """")"),"")</f>
        <v/>
      </c>
      <c r="C501" s="10"/>
    </row>
    <row r="502" ht="15.75" customHeight="1">
      <c r="A502" s="12"/>
      <c r="B502" s="9" t="str">
        <f>IFERROR(__xludf.DUMMYFUNCTION("IF(A502&lt;&gt;"""", 
   IF(COUNTA(SPLIT(TRIM(A502), "" ""))=1, 
      LOWER(TRIM(A502)) &amp; ""@zupee.in"", 
      LOWER(INDEX(SPLIT(TRIM(A502), "" ""), 1)) &amp; ""."" &amp; LOWER(INDEX(SPLIT(TRIM(A502), "" ""), COUNTA(SPLIT(TRIM(A502), "" "")))) &amp; ""@zupee.in""
   ), 
"&amp;"   """")"),"")</f>
        <v/>
      </c>
      <c r="C502" s="10"/>
    </row>
    <row r="503" ht="15.75" customHeight="1">
      <c r="A503" s="12"/>
      <c r="B503" s="9" t="str">
        <f>IFERROR(__xludf.DUMMYFUNCTION("IF(A503&lt;&gt;"""", 
   IF(COUNTA(SPLIT(TRIM(A503), "" ""))=1, 
      LOWER(TRIM(A503)) &amp; ""@zupee.in"", 
      LOWER(INDEX(SPLIT(TRIM(A503), "" ""), 1)) &amp; ""."" &amp; LOWER(INDEX(SPLIT(TRIM(A503), "" ""), COUNTA(SPLIT(TRIM(A503), "" "")))) &amp; ""@zupee.in""
   ), 
"&amp;"   """")"),"")</f>
        <v/>
      </c>
      <c r="C503" s="10"/>
    </row>
    <row r="504" ht="15.75" customHeight="1">
      <c r="A504" s="12"/>
      <c r="B504" s="9" t="str">
        <f>IFERROR(__xludf.DUMMYFUNCTION("IF(A504&lt;&gt;"""", 
   IF(COUNTA(SPLIT(TRIM(A504), "" ""))=1, 
      LOWER(TRIM(A504)) &amp; ""@zupee.in"", 
      LOWER(INDEX(SPLIT(TRIM(A504), "" ""), 1)) &amp; ""."" &amp; LOWER(INDEX(SPLIT(TRIM(A504), "" ""), COUNTA(SPLIT(TRIM(A504), "" "")))) &amp; ""@zupee.in""
   ), 
"&amp;"   """")"),"")</f>
        <v/>
      </c>
      <c r="C504" s="10"/>
    </row>
    <row r="505" ht="15.75" customHeight="1">
      <c r="A505" s="12"/>
      <c r="B505" s="9" t="str">
        <f>IFERROR(__xludf.DUMMYFUNCTION("IF(A505&lt;&gt;"""", 
   IF(COUNTA(SPLIT(TRIM(A505), "" ""))=1, 
      LOWER(TRIM(A505)) &amp; ""@zupee.in"", 
      LOWER(INDEX(SPLIT(TRIM(A505), "" ""), 1)) &amp; ""."" &amp; LOWER(INDEX(SPLIT(TRIM(A505), "" ""), COUNTA(SPLIT(TRIM(A505), "" "")))) &amp; ""@zupee.in""
   ), 
"&amp;"   """")"),"")</f>
        <v/>
      </c>
      <c r="C505" s="10"/>
    </row>
    <row r="506" ht="15.75" customHeight="1">
      <c r="A506" s="12"/>
      <c r="B506" s="9" t="str">
        <f>IFERROR(__xludf.DUMMYFUNCTION("IF(A506&lt;&gt;"""", 
   IF(COUNTA(SPLIT(TRIM(A506), "" ""))=1, 
      LOWER(TRIM(A506)) &amp; ""@zupee.in"", 
      LOWER(INDEX(SPLIT(TRIM(A506), "" ""), 1)) &amp; ""."" &amp; LOWER(INDEX(SPLIT(TRIM(A506), "" ""), COUNTA(SPLIT(TRIM(A506), "" "")))) &amp; ""@zupee.in""
   ), 
"&amp;"   """")"),"")</f>
        <v/>
      </c>
      <c r="C506" s="10"/>
    </row>
    <row r="507" ht="15.75" customHeight="1">
      <c r="A507" s="12"/>
      <c r="B507" s="9" t="str">
        <f>IFERROR(__xludf.DUMMYFUNCTION("IF(A507&lt;&gt;"""", 
   IF(COUNTA(SPLIT(TRIM(A507), "" ""))=1, 
      LOWER(TRIM(A507)) &amp; ""@zupee.in"", 
      LOWER(INDEX(SPLIT(TRIM(A507), "" ""), 1)) &amp; ""."" &amp; LOWER(INDEX(SPLIT(TRIM(A507), "" ""), COUNTA(SPLIT(TRIM(A507), "" "")))) &amp; ""@zupee.in""
   ), 
"&amp;"   """")"),"")</f>
        <v/>
      </c>
      <c r="C507" s="10"/>
    </row>
    <row r="508" ht="15.75" customHeight="1">
      <c r="A508" s="12"/>
      <c r="B508" s="9" t="str">
        <f>IFERROR(__xludf.DUMMYFUNCTION("IF(A508&lt;&gt;"""", 
   IF(COUNTA(SPLIT(TRIM(A508), "" ""))=1, 
      LOWER(TRIM(A508)) &amp; ""@zupee.in"", 
      LOWER(INDEX(SPLIT(TRIM(A508), "" ""), 1)) &amp; ""."" &amp; LOWER(INDEX(SPLIT(TRIM(A508), "" ""), COUNTA(SPLIT(TRIM(A508), "" "")))) &amp; ""@zupee.in""
   ), 
"&amp;"   """")"),"")</f>
        <v/>
      </c>
      <c r="C508" s="10"/>
    </row>
    <row r="509" ht="15.75" customHeight="1">
      <c r="A509" s="12"/>
      <c r="B509" s="9" t="str">
        <f>IFERROR(__xludf.DUMMYFUNCTION("IF(A509&lt;&gt;"""", 
   IF(COUNTA(SPLIT(TRIM(A509), "" ""))=1, 
      LOWER(TRIM(A509)) &amp; ""@zupee.in"", 
      LOWER(INDEX(SPLIT(TRIM(A509), "" ""), 1)) &amp; ""."" &amp; LOWER(INDEX(SPLIT(TRIM(A509), "" ""), COUNTA(SPLIT(TRIM(A509), "" "")))) &amp; ""@zupee.in""
   ), 
"&amp;"   """")"),"")</f>
        <v/>
      </c>
      <c r="C509" s="10"/>
    </row>
    <row r="510" ht="15.75" customHeight="1">
      <c r="A510" s="12"/>
      <c r="B510" s="9" t="str">
        <f>IFERROR(__xludf.DUMMYFUNCTION("IF(A510&lt;&gt;"""", 
   IF(COUNTA(SPLIT(TRIM(A510), "" ""))=1, 
      LOWER(TRIM(A510)) &amp; ""@zupee.in"", 
      LOWER(INDEX(SPLIT(TRIM(A510), "" ""), 1)) &amp; ""."" &amp; LOWER(INDEX(SPLIT(TRIM(A510), "" ""), COUNTA(SPLIT(TRIM(A510), "" "")))) &amp; ""@zupee.in""
   ), 
"&amp;"   """")"),"")</f>
        <v/>
      </c>
      <c r="C510" s="10"/>
    </row>
    <row r="511" ht="15.75" customHeight="1">
      <c r="A511" s="12"/>
      <c r="B511" s="9" t="str">
        <f>IFERROR(__xludf.DUMMYFUNCTION("IF(A511&lt;&gt;"""", 
   IF(COUNTA(SPLIT(TRIM(A511), "" ""))=1, 
      LOWER(TRIM(A511)) &amp; ""@zupee.in"", 
      LOWER(INDEX(SPLIT(TRIM(A511), "" ""), 1)) &amp; ""."" &amp; LOWER(INDEX(SPLIT(TRIM(A511), "" ""), COUNTA(SPLIT(TRIM(A511), "" "")))) &amp; ""@zupee.in""
   ), 
"&amp;"   """")"),"")</f>
        <v/>
      </c>
      <c r="C511" s="10"/>
    </row>
    <row r="512" ht="15.75" customHeight="1">
      <c r="A512" s="12"/>
      <c r="B512" s="9" t="str">
        <f>IFERROR(__xludf.DUMMYFUNCTION("IF(A512&lt;&gt;"""", 
   IF(COUNTA(SPLIT(TRIM(A512), "" ""))=1, 
      LOWER(TRIM(A512)) &amp; ""@zupee.in"", 
      LOWER(INDEX(SPLIT(TRIM(A512), "" ""), 1)) &amp; ""."" &amp; LOWER(INDEX(SPLIT(TRIM(A512), "" ""), COUNTA(SPLIT(TRIM(A512), "" "")))) &amp; ""@zupee.in""
   ), 
"&amp;"   """")"),"")</f>
        <v/>
      </c>
      <c r="C512" s="10"/>
    </row>
    <row r="513" ht="15.75" customHeight="1">
      <c r="A513" s="12"/>
      <c r="B513" s="9" t="str">
        <f>IFERROR(__xludf.DUMMYFUNCTION("IF(A513&lt;&gt;"""", 
   IF(COUNTA(SPLIT(TRIM(A513), "" ""))=1, 
      LOWER(TRIM(A513)) &amp; ""@zupee.in"", 
      LOWER(INDEX(SPLIT(TRIM(A513), "" ""), 1)) &amp; ""."" &amp; LOWER(INDEX(SPLIT(TRIM(A513), "" ""), COUNTA(SPLIT(TRIM(A513), "" "")))) &amp; ""@zupee.in""
   ), 
"&amp;"   """")"),"")</f>
        <v/>
      </c>
      <c r="C513" s="10"/>
    </row>
    <row r="514" ht="15.75" customHeight="1">
      <c r="A514" s="12"/>
      <c r="B514" s="9" t="str">
        <f>IFERROR(__xludf.DUMMYFUNCTION("IF(A514&lt;&gt;"""", 
   IF(COUNTA(SPLIT(TRIM(A514), "" ""))=1, 
      LOWER(TRIM(A514)) &amp; ""@zupee.in"", 
      LOWER(INDEX(SPLIT(TRIM(A514), "" ""), 1)) &amp; ""."" &amp; LOWER(INDEX(SPLIT(TRIM(A514), "" ""), COUNTA(SPLIT(TRIM(A514), "" "")))) &amp; ""@zupee.in""
   ), 
"&amp;"   """")"),"")</f>
        <v/>
      </c>
      <c r="C514" s="10"/>
    </row>
    <row r="515" ht="15.75" customHeight="1">
      <c r="A515" s="12"/>
      <c r="B515" s="9" t="str">
        <f>IFERROR(__xludf.DUMMYFUNCTION("IF(A515&lt;&gt;"""", 
   IF(COUNTA(SPLIT(TRIM(A515), "" ""))=1, 
      LOWER(TRIM(A515)) &amp; ""@zupee.in"", 
      LOWER(INDEX(SPLIT(TRIM(A515), "" ""), 1)) &amp; ""."" &amp; LOWER(INDEX(SPLIT(TRIM(A515), "" ""), COUNTA(SPLIT(TRIM(A515), "" "")))) &amp; ""@zupee.in""
   ), 
"&amp;"   """")"),"")</f>
        <v/>
      </c>
      <c r="C515" s="10"/>
    </row>
    <row r="516" ht="15.75" customHeight="1">
      <c r="A516" s="12"/>
      <c r="B516" s="9" t="str">
        <f>IFERROR(__xludf.DUMMYFUNCTION("IF(A516&lt;&gt;"""", 
   IF(COUNTA(SPLIT(TRIM(A516), "" ""))=1, 
      LOWER(TRIM(A516)) &amp; ""@zupee.in"", 
      LOWER(INDEX(SPLIT(TRIM(A516), "" ""), 1)) &amp; ""."" &amp; LOWER(INDEX(SPLIT(TRIM(A516), "" ""), COUNTA(SPLIT(TRIM(A516), "" "")))) &amp; ""@zupee.in""
   ), 
"&amp;"   """")"),"")</f>
        <v/>
      </c>
      <c r="C516" s="10"/>
    </row>
    <row r="517" ht="15.75" customHeight="1">
      <c r="A517" s="12"/>
      <c r="B517" s="9" t="str">
        <f>IFERROR(__xludf.DUMMYFUNCTION("IF(A517&lt;&gt;"""", 
   IF(COUNTA(SPLIT(TRIM(A517), "" ""))=1, 
      LOWER(TRIM(A517)) &amp; ""@zupee.in"", 
      LOWER(INDEX(SPLIT(TRIM(A517), "" ""), 1)) &amp; ""."" &amp; LOWER(INDEX(SPLIT(TRIM(A517), "" ""), COUNTA(SPLIT(TRIM(A517), "" "")))) &amp; ""@zupee.in""
   ), 
"&amp;"   """")"),"")</f>
        <v/>
      </c>
      <c r="C517" s="10"/>
    </row>
    <row r="518" ht="15.75" customHeight="1">
      <c r="A518" s="12"/>
      <c r="B518" s="9" t="str">
        <f>IFERROR(__xludf.DUMMYFUNCTION("IF(A518&lt;&gt;"""", 
   IF(COUNTA(SPLIT(TRIM(A518), "" ""))=1, 
      LOWER(TRIM(A518)) &amp; ""@zupee.in"", 
      LOWER(INDEX(SPLIT(TRIM(A518), "" ""), 1)) &amp; ""."" &amp; LOWER(INDEX(SPLIT(TRIM(A518), "" ""), COUNTA(SPLIT(TRIM(A518), "" "")))) &amp; ""@zupee.in""
   ), 
"&amp;"   """")"),"")</f>
        <v/>
      </c>
      <c r="C518" s="10"/>
    </row>
    <row r="519" ht="15.75" customHeight="1">
      <c r="A519" s="12"/>
      <c r="B519" s="9" t="str">
        <f>IFERROR(__xludf.DUMMYFUNCTION("IF(A519&lt;&gt;"""", 
   IF(COUNTA(SPLIT(TRIM(A519), "" ""))=1, 
      LOWER(TRIM(A519)) &amp; ""@zupee.in"", 
      LOWER(INDEX(SPLIT(TRIM(A519), "" ""), 1)) &amp; ""."" &amp; LOWER(INDEX(SPLIT(TRIM(A519), "" ""), COUNTA(SPLIT(TRIM(A519), "" "")))) &amp; ""@zupee.in""
   ), 
"&amp;"   """")"),"")</f>
        <v/>
      </c>
      <c r="C519" s="10"/>
    </row>
    <row r="520" ht="15.75" customHeight="1">
      <c r="A520" s="12"/>
      <c r="B520" s="9" t="str">
        <f>IFERROR(__xludf.DUMMYFUNCTION("IF(A520&lt;&gt;"""", 
   IF(COUNTA(SPLIT(TRIM(A520), "" ""))=1, 
      LOWER(TRIM(A520)) &amp; ""@zupee.in"", 
      LOWER(INDEX(SPLIT(TRIM(A520), "" ""), 1)) &amp; ""."" &amp; LOWER(INDEX(SPLIT(TRIM(A520), "" ""), COUNTA(SPLIT(TRIM(A520), "" "")))) &amp; ""@zupee.in""
   ), 
"&amp;"   """")"),"")</f>
        <v/>
      </c>
      <c r="C520" s="10"/>
    </row>
    <row r="521" ht="15.75" customHeight="1">
      <c r="A521" s="12"/>
      <c r="B521" s="9" t="str">
        <f>IFERROR(__xludf.DUMMYFUNCTION("IF(A521&lt;&gt;"""", 
   IF(COUNTA(SPLIT(TRIM(A521), "" ""))=1, 
      LOWER(TRIM(A521)) &amp; ""@zupee.in"", 
      LOWER(INDEX(SPLIT(TRIM(A521), "" ""), 1)) &amp; ""."" &amp; LOWER(INDEX(SPLIT(TRIM(A521), "" ""), COUNTA(SPLIT(TRIM(A521), "" "")))) &amp; ""@zupee.in""
   ), 
"&amp;"   """")"),"")</f>
        <v/>
      </c>
      <c r="C521" s="10"/>
    </row>
    <row r="522" ht="15.75" customHeight="1">
      <c r="A522" s="12"/>
      <c r="B522" s="9" t="str">
        <f>IFERROR(__xludf.DUMMYFUNCTION("IF(A522&lt;&gt;"""", 
   IF(COUNTA(SPLIT(TRIM(A522), "" ""))=1, 
      LOWER(TRIM(A522)) &amp; ""@zupee.in"", 
      LOWER(INDEX(SPLIT(TRIM(A522), "" ""), 1)) &amp; ""."" &amp; LOWER(INDEX(SPLIT(TRIM(A522), "" ""), COUNTA(SPLIT(TRIM(A522), "" "")))) &amp; ""@zupee.in""
   ), 
"&amp;"   """")"),"")</f>
        <v/>
      </c>
      <c r="C522" s="10"/>
    </row>
    <row r="523" ht="15.75" customHeight="1">
      <c r="A523" s="12"/>
      <c r="B523" s="9" t="str">
        <f>IFERROR(__xludf.DUMMYFUNCTION("IF(A523&lt;&gt;"""", 
   IF(COUNTA(SPLIT(TRIM(A523), "" ""))=1, 
      LOWER(TRIM(A523)) &amp; ""@zupee.in"", 
      LOWER(INDEX(SPLIT(TRIM(A523), "" ""), 1)) &amp; ""."" &amp; LOWER(INDEX(SPLIT(TRIM(A523), "" ""), COUNTA(SPLIT(TRIM(A523), "" "")))) &amp; ""@zupee.in""
   ), 
"&amp;"   """")"),"")</f>
        <v/>
      </c>
      <c r="C523" s="10"/>
    </row>
    <row r="524" ht="15.75" customHeight="1">
      <c r="A524" s="12"/>
      <c r="B524" s="9" t="str">
        <f>IFERROR(__xludf.DUMMYFUNCTION("IF(A524&lt;&gt;"""", 
   IF(COUNTA(SPLIT(TRIM(A524), "" ""))=1, 
      LOWER(TRIM(A524)) &amp; ""@zupee.in"", 
      LOWER(INDEX(SPLIT(TRIM(A524), "" ""), 1)) &amp; ""."" &amp; LOWER(INDEX(SPLIT(TRIM(A524), "" ""), COUNTA(SPLIT(TRIM(A524), "" "")))) &amp; ""@zupee.in""
   ), 
"&amp;"   """")"),"")</f>
        <v/>
      </c>
      <c r="C524" s="10"/>
    </row>
    <row r="525" ht="15.75" customHeight="1">
      <c r="A525" s="12"/>
      <c r="B525" s="9" t="str">
        <f>IFERROR(__xludf.DUMMYFUNCTION("IF(A525&lt;&gt;"""", 
   IF(COUNTA(SPLIT(TRIM(A525), "" ""))=1, 
      LOWER(TRIM(A525)) &amp; ""@zupee.in"", 
      LOWER(INDEX(SPLIT(TRIM(A525), "" ""), 1)) &amp; ""."" &amp; LOWER(INDEX(SPLIT(TRIM(A525), "" ""), COUNTA(SPLIT(TRIM(A525), "" "")))) &amp; ""@zupee.in""
   ), 
"&amp;"   """")"),"")</f>
        <v/>
      </c>
      <c r="C525" s="10"/>
    </row>
    <row r="526" ht="15.75" customHeight="1">
      <c r="A526" s="12"/>
      <c r="B526" s="9" t="str">
        <f>IFERROR(__xludf.DUMMYFUNCTION("IF(A526&lt;&gt;"""", 
   IF(COUNTA(SPLIT(TRIM(A526), "" ""))=1, 
      LOWER(TRIM(A526)) &amp; ""@zupee.in"", 
      LOWER(INDEX(SPLIT(TRIM(A526), "" ""), 1)) &amp; ""."" &amp; LOWER(INDEX(SPLIT(TRIM(A526), "" ""), COUNTA(SPLIT(TRIM(A526), "" "")))) &amp; ""@zupee.in""
   ), 
"&amp;"   """")"),"")</f>
        <v/>
      </c>
      <c r="C526" s="10"/>
    </row>
    <row r="527" ht="15.75" customHeight="1">
      <c r="A527" s="12"/>
      <c r="B527" s="9" t="str">
        <f>IFERROR(__xludf.DUMMYFUNCTION("IF(A527&lt;&gt;"""", 
   IF(COUNTA(SPLIT(TRIM(A527), "" ""))=1, 
      LOWER(TRIM(A527)) &amp; ""@zupee.in"", 
      LOWER(INDEX(SPLIT(TRIM(A527), "" ""), 1)) &amp; ""."" &amp; LOWER(INDEX(SPLIT(TRIM(A527), "" ""), COUNTA(SPLIT(TRIM(A527), "" "")))) &amp; ""@zupee.in""
   ), 
"&amp;"   """")"),"")</f>
        <v/>
      </c>
      <c r="C527" s="10"/>
    </row>
    <row r="528" ht="15.75" customHeight="1">
      <c r="A528" s="12"/>
      <c r="B528" s="9" t="str">
        <f>IFERROR(__xludf.DUMMYFUNCTION("IF(A528&lt;&gt;"""", 
   IF(COUNTA(SPLIT(TRIM(A528), "" ""))=1, 
      LOWER(TRIM(A528)) &amp; ""@zupee.in"", 
      LOWER(INDEX(SPLIT(TRIM(A528), "" ""), 1)) &amp; ""."" &amp; LOWER(INDEX(SPLIT(TRIM(A528), "" ""), COUNTA(SPLIT(TRIM(A528), "" "")))) &amp; ""@zupee.in""
   ), 
"&amp;"   """")"),"")</f>
        <v/>
      </c>
      <c r="C528" s="10"/>
    </row>
    <row r="529" ht="15.75" customHeight="1">
      <c r="A529" s="12"/>
      <c r="B529" s="9" t="str">
        <f>IFERROR(__xludf.DUMMYFUNCTION("IF(A529&lt;&gt;"""", 
   IF(COUNTA(SPLIT(TRIM(A529), "" ""))=1, 
      LOWER(TRIM(A529)) &amp; ""@zupee.in"", 
      LOWER(INDEX(SPLIT(TRIM(A529), "" ""), 1)) &amp; ""."" &amp; LOWER(INDEX(SPLIT(TRIM(A529), "" ""), COUNTA(SPLIT(TRIM(A529), "" "")))) &amp; ""@zupee.in""
   ), 
"&amp;"   """")"),"")</f>
        <v/>
      </c>
      <c r="C529" s="10"/>
    </row>
    <row r="530" ht="15.75" customHeight="1">
      <c r="A530" s="12"/>
      <c r="B530" s="9" t="str">
        <f>IFERROR(__xludf.DUMMYFUNCTION("IF(A530&lt;&gt;"""", 
   IF(COUNTA(SPLIT(TRIM(A530), "" ""))=1, 
      LOWER(TRIM(A530)) &amp; ""@zupee.in"", 
      LOWER(INDEX(SPLIT(TRIM(A530), "" ""), 1)) &amp; ""."" &amp; LOWER(INDEX(SPLIT(TRIM(A530), "" ""), COUNTA(SPLIT(TRIM(A530), "" "")))) &amp; ""@zupee.in""
   ), 
"&amp;"   """")"),"")</f>
        <v/>
      </c>
      <c r="C530" s="10"/>
    </row>
    <row r="531" ht="15.75" customHeight="1">
      <c r="A531" s="12"/>
      <c r="B531" s="9" t="str">
        <f>IFERROR(__xludf.DUMMYFUNCTION("IF(A531&lt;&gt;"""", 
   IF(COUNTA(SPLIT(TRIM(A531), "" ""))=1, 
      LOWER(TRIM(A531)) &amp; ""@zupee.in"", 
      LOWER(INDEX(SPLIT(TRIM(A531), "" ""), 1)) &amp; ""."" &amp; LOWER(INDEX(SPLIT(TRIM(A531), "" ""), COUNTA(SPLIT(TRIM(A531), "" "")))) &amp; ""@zupee.in""
   ), 
"&amp;"   """")"),"")</f>
        <v/>
      </c>
      <c r="C531" s="10"/>
    </row>
    <row r="532" ht="15.75" customHeight="1">
      <c r="A532" s="12"/>
      <c r="B532" s="9" t="str">
        <f>IFERROR(__xludf.DUMMYFUNCTION("IF(A532&lt;&gt;"""", 
   IF(COUNTA(SPLIT(TRIM(A532), "" ""))=1, 
      LOWER(TRIM(A532)) &amp; ""@zupee.in"", 
      LOWER(INDEX(SPLIT(TRIM(A532), "" ""), 1)) &amp; ""."" &amp; LOWER(INDEX(SPLIT(TRIM(A532), "" ""), COUNTA(SPLIT(TRIM(A532), "" "")))) &amp; ""@zupee.in""
   ), 
"&amp;"   """")"),"")</f>
        <v/>
      </c>
      <c r="C532" s="10"/>
    </row>
    <row r="533" ht="15.75" customHeight="1">
      <c r="A533" s="12"/>
      <c r="B533" s="9" t="str">
        <f>IFERROR(__xludf.DUMMYFUNCTION("IF(A533&lt;&gt;"""", 
   IF(COUNTA(SPLIT(TRIM(A533), "" ""))=1, 
      LOWER(TRIM(A533)) &amp; ""@zupee.in"", 
      LOWER(INDEX(SPLIT(TRIM(A533), "" ""), 1)) &amp; ""."" &amp; LOWER(INDEX(SPLIT(TRIM(A533), "" ""), COUNTA(SPLIT(TRIM(A533), "" "")))) &amp; ""@zupee.in""
   ), 
"&amp;"   """")"),"")</f>
        <v/>
      </c>
      <c r="C533" s="10"/>
    </row>
    <row r="534" ht="15.75" customHeight="1">
      <c r="A534" s="12"/>
      <c r="B534" s="9" t="str">
        <f>IFERROR(__xludf.DUMMYFUNCTION("IF(A534&lt;&gt;"""", 
   IF(COUNTA(SPLIT(TRIM(A534), "" ""))=1, 
      LOWER(TRIM(A534)) &amp; ""@zupee.in"", 
      LOWER(INDEX(SPLIT(TRIM(A534), "" ""), 1)) &amp; ""."" &amp; LOWER(INDEX(SPLIT(TRIM(A534), "" ""), COUNTA(SPLIT(TRIM(A534), "" "")))) &amp; ""@zupee.in""
   ), 
"&amp;"   """")"),"")</f>
        <v/>
      </c>
      <c r="C534" s="10"/>
    </row>
    <row r="535" ht="15.75" customHeight="1">
      <c r="A535" s="12"/>
      <c r="B535" s="9" t="str">
        <f>IFERROR(__xludf.DUMMYFUNCTION("IF(A535&lt;&gt;"""", 
   IF(COUNTA(SPLIT(TRIM(A535), "" ""))=1, 
      LOWER(TRIM(A535)) &amp; ""@zupee.in"", 
      LOWER(INDEX(SPLIT(TRIM(A535), "" ""), 1)) &amp; ""."" &amp; LOWER(INDEX(SPLIT(TRIM(A535), "" ""), COUNTA(SPLIT(TRIM(A535), "" "")))) &amp; ""@zupee.in""
   ), 
"&amp;"   """")"),"")</f>
        <v/>
      </c>
      <c r="C535" s="10"/>
    </row>
    <row r="536" ht="15.75" customHeight="1">
      <c r="A536" s="12"/>
      <c r="B536" s="9" t="str">
        <f>IFERROR(__xludf.DUMMYFUNCTION("IF(A536&lt;&gt;"""", 
   IF(COUNTA(SPLIT(TRIM(A536), "" ""))=1, 
      LOWER(TRIM(A536)) &amp; ""@zupee.in"", 
      LOWER(INDEX(SPLIT(TRIM(A536), "" ""), 1)) &amp; ""."" &amp; LOWER(INDEX(SPLIT(TRIM(A536), "" ""), COUNTA(SPLIT(TRIM(A536), "" "")))) &amp; ""@zupee.in""
   ), 
"&amp;"   """")"),"")</f>
        <v/>
      </c>
      <c r="C536" s="10"/>
    </row>
    <row r="537" ht="15.75" customHeight="1">
      <c r="A537" s="12"/>
      <c r="B537" s="9" t="str">
        <f>IFERROR(__xludf.DUMMYFUNCTION("IF(A537&lt;&gt;"""", 
   IF(COUNTA(SPLIT(TRIM(A537), "" ""))=1, 
      LOWER(TRIM(A537)) &amp; ""@zupee.in"", 
      LOWER(INDEX(SPLIT(TRIM(A537), "" ""), 1)) &amp; ""."" &amp; LOWER(INDEX(SPLIT(TRIM(A537), "" ""), COUNTA(SPLIT(TRIM(A537), "" "")))) &amp; ""@zupee.in""
   ), 
"&amp;"   """")"),"")</f>
        <v/>
      </c>
      <c r="C537" s="10"/>
    </row>
    <row r="538" ht="15.75" customHeight="1">
      <c r="A538" s="12"/>
      <c r="B538" s="9" t="str">
        <f>IFERROR(__xludf.DUMMYFUNCTION("IF(A538&lt;&gt;"""", 
   IF(COUNTA(SPLIT(TRIM(A538), "" ""))=1, 
      LOWER(TRIM(A538)) &amp; ""@zupee.in"", 
      LOWER(INDEX(SPLIT(TRIM(A538), "" ""), 1)) &amp; ""."" &amp; LOWER(INDEX(SPLIT(TRIM(A538), "" ""), COUNTA(SPLIT(TRIM(A538), "" "")))) &amp; ""@zupee.in""
   ), 
"&amp;"   """")"),"")</f>
        <v/>
      </c>
      <c r="C538" s="10"/>
    </row>
    <row r="539" ht="15.75" customHeight="1">
      <c r="A539" s="12"/>
      <c r="B539" s="9" t="str">
        <f>IFERROR(__xludf.DUMMYFUNCTION("IF(A539&lt;&gt;"""", 
   IF(COUNTA(SPLIT(TRIM(A539), "" ""))=1, 
      LOWER(TRIM(A539)) &amp; ""@zupee.in"", 
      LOWER(INDEX(SPLIT(TRIM(A539), "" ""), 1)) &amp; ""."" &amp; LOWER(INDEX(SPLIT(TRIM(A539), "" ""), COUNTA(SPLIT(TRIM(A539), "" "")))) &amp; ""@zupee.in""
   ), 
"&amp;"   """")"),"")</f>
        <v/>
      </c>
      <c r="C539" s="10"/>
    </row>
    <row r="540" ht="15.75" customHeight="1">
      <c r="A540" s="12"/>
      <c r="B540" s="9" t="str">
        <f>IFERROR(__xludf.DUMMYFUNCTION("IF(A540&lt;&gt;"""", 
   IF(COUNTA(SPLIT(TRIM(A540), "" ""))=1, 
      LOWER(TRIM(A540)) &amp; ""@zupee.in"", 
      LOWER(INDEX(SPLIT(TRIM(A540), "" ""), 1)) &amp; ""."" &amp; LOWER(INDEX(SPLIT(TRIM(A540), "" ""), COUNTA(SPLIT(TRIM(A540), "" "")))) &amp; ""@zupee.in""
   ), 
"&amp;"   """")"),"")</f>
        <v/>
      </c>
      <c r="C540" s="10"/>
    </row>
    <row r="541" ht="15.75" customHeight="1">
      <c r="A541" s="12"/>
      <c r="B541" s="9" t="str">
        <f>IFERROR(__xludf.DUMMYFUNCTION("IF(A541&lt;&gt;"""", 
   IF(COUNTA(SPLIT(TRIM(A541), "" ""))=1, 
      LOWER(TRIM(A541)) &amp; ""@zupee.in"", 
      LOWER(INDEX(SPLIT(TRIM(A541), "" ""), 1)) &amp; ""."" &amp; LOWER(INDEX(SPLIT(TRIM(A541), "" ""), COUNTA(SPLIT(TRIM(A541), "" "")))) &amp; ""@zupee.in""
   ), 
"&amp;"   """")"),"")</f>
        <v/>
      </c>
      <c r="C541" s="10"/>
    </row>
    <row r="542" ht="15.75" customHeight="1">
      <c r="A542" s="12"/>
      <c r="B542" s="9" t="str">
        <f>IFERROR(__xludf.DUMMYFUNCTION("IF(A542&lt;&gt;"""", 
   IF(COUNTA(SPLIT(TRIM(A542), "" ""))=1, 
      LOWER(TRIM(A542)) &amp; ""@zupee.in"", 
      LOWER(INDEX(SPLIT(TRIM(A542), "" ""), 1)) &amp; ""."" &amp; LOWER(INDEX(SPLIT(TRIM(A542), "" ""), COUNTA(SPLIT(TRIM(A542), "" "")))) &amp; ""@zupee.in""
   ), 
"&amp;"   """")"),"")</f>
        <v/>
      </c>
      <c r="C542" s="10"/>
    </row>
    <row r="543" ht="15.75" customHeight="1">
      <c r="A543" s="12"/>
      <c r="B543" s="9" t="str">
        <f>IFERROR(__xludf.DUMMYFUNCTION("IF(A543&lt;&gt;"""", 
   IF(COUNTA(SPLIT(TRIM(A543), "" ""))=1, 
      LOWER(TRIM(A543)) &amp; ""@zupee.in"", 
      LOWER(INDEX(SPLIT(TRIM(A543), "" ""), 1)) &amp; ""."" &amp; LOWER(INDEX(SPLIT(TRIM(A543), "" ""), COUNTA(SPLIT(TRIM(A543), "" "")))) &amp; ""@zupee.in""
   ), 
"&amp;"   """")"),"")</f>
        <v/>
      </c>
      <c r="C543" s="10"/>
    </row>
    <row r="544" ht="15.75" customHeight="1">
      <c r="A544" s="12"/>
      <c r="B544" s="9" t="str">
        <f>IFERROR(__xludf.DUMMYFUNCTION("IF(A544&lt;&gt;"""", 
   IF(COUNTA(SPLIT(TRIM(A544), "" ""))=1, 
      LOWER(TRIM(A544)) &amp; ""@zupee.in"", 
      LOWER(INDEX(SPLIT(TRIM(A544), "" ""), 1)) &amp; ""."" &amp; LOWER(INDEX(SPLIT(TRIM(A544), "" ""), COUNTA(SPLIT(TRIM(A544), "" "")))) &amp; ""@zupee.in""
   ), 
"&amp;"   """")"),"")</f>
        <v/>
      </c>
      <c r="C544" s="10"/>
    </row>
    <row r="545" ht="15.75" customHeight="1">
      <c r="A545" s="12"/>
      <c r="B545" s="9" t="str">
        <f>IFERROR(__xludf.DUMMYFUNCTION("IF(A545&lt;&gt;"""", 
   IF(COUNTA(SPLIT(TRIM(A545), "" ""))=1, 
      LOWER(TRIM(A545)) &amp; ""@zupee.in"", 
      LOWER(INDEX(SPLIT(TRIM(A545), "" ""), 1)) &amp; ""."" &amp; LOWER(INDEX(SPLIT(TRIM(A545), "" ""), COUNTA(SPLIT(TRIM(A545), "" "")))) &amp; ""@zupee.in""
   ), 
"&amp;"   """")"),"")</f>
        <v/>
      </c>
      <c r="C545" s="10"/>
    </row>
    <row r="546" ht="15.75" customHeight="1">
      <c r="A546" s="12"/>
      <c r="B546" s="9" t="str">
        <f>IFERROR(__xludf.DUMMYFUNCTION("IF(A546&lt;&gt;"""", 
   IF(COUNTA(SPLIT(TRIM(A546), "" ""))=1, 
      LOWER(TRIM(A546)) &amp; ""@zupee.in"", 
      LOWER(INDEX(SPLIT(TRIM(A546), "" ""), 1)) &amp; ""."" &amp; LOWER(INDEX(SPLIT(TRIM(A546), "" ""), COUNTA(SPLIT(TRIM(A546), "" "")))) &amp; ""@zupee.in""
   ), 
"&amp;"   """")"),"")</f>
        <v/>
      </c>
      <c r="C546" s="10"/>
    </row>
    <row r="547" ht="15.75" customHeight="1">
      <c r="A547" s="12"/>
      <c r="B547" s="9" t="str">
        <f>IFERROR(__xludf.DUMMYFUNCTION("IF(A547&lt;&gt;"""", 
   IF(COUNTA(SPLIT(TRIM(A547), "" ""))=1, 
      LOWER(TRIM(A547)) &amp; ""@zupee.in"", 
      LOWER(INDEX(SPLIT(TRIM(A547), "" ""), 1)) &amp; ""."" &amp; LOWER(INDEX(SPLIT(TRIM(A547), "" ""), COUNTA(SPLIT(TRIM(A547), "" "")))) &amp; ""@zupee.in""
   ), 
"&amp;"   """")"),"")</f>
        <v/>
      </c>
      <c r="C547" s="10"/>
    </row>
    <row r="548" ht="15.75" customHeight="1">
      <c r="A548" s="12"/>
      <c r="B548" s="9" t="str">
        <f>IFERROR(__xludf.DUMMYFUNCTION("IF(A548&lt;&gt;"""", 
   IF(COUNTA(SPLIT(TRIM(A548), "" ""))=1, 
      LOWER(TRIM(A548)) &amp; ""@zupee.in"", 
      LOWER(INDEX(SPLIT(TRIM(A548), "" ""), 1)) &amp; ""."" &amp; LOWER(INDEX(SPLIT(TRIM(A548), "" ""), COUNTA(SPLIT(TRIM(A548), "" "")))) &amp; ""@zupee.in""
   ), 
"&amp;"   """")"),"")</f>
        <v/>
      </c>
      <c r="C548" s="10"/>
    </row>
    <row r="549" ht="15.75" customHeight="1">
      <c r="A549" s="12"/>
      <c r="B549" s="9" t="str">
        <f>IFERROR(__xludf.DUMMYFUNCTION("IF(A549&lt;&gt;"""", 
   IF(COUNTA(SPLIT(TRIM(A549), "" ""))=1, 
      LOWER(TRIM(A549)) &amp; ""@zupee.in"", 
      LOWER(INDEX(SPLIT(TRIM(A549), "" ""), 1)) &amp; ""."" &amp; LOWER(INDEX(SPLIT(TRIM(A549), "" ""), COUNTA(SPLIT(TRIM(A549), "" "")))) &amp; ""@zupee.in""
   ), 
"&amp;"   """")"),"")</f>
        <v/>
      </c>
      <c r="C549" s="10"/>
    </row>
    <row r="550" ht="15.75" customHeight="1">
      <c r="A550" s="12"/>
      <c r="B550" s="9" t="str">
        <f>IFERROR(__xludf.DUMMYFUNCTION("IF(A550&lt;&gt;"""", 
   IF(COUNTA(SPLIT(TRIM(A550), "" ""))=1, 
      LOWER(TRIM(A550)) &amp; ""@zupee.in"", 
      LOWER(INDEX(SPLIT(TRIM(A550), "" ""), 1)) &amp; ""."" &amp; LOWER(INDEX(SPLIT(TRIM(A550), "" ""), COUNTA(SPLIT(TRIM(A550), "" "")))) &amp; ""@zupee.in""
   ), 
"&amp;"   """")"),"")</f>
        <v/>
      </c>
      <c r="C550" s="10"/>
    </row>
    <row r="551" ht="15.75" customHeight="1">
      <c r="A551" s="12"/>
      <c r="B551" s="9" t="str">
        <f>IFERROR(__xludf.DUMMYFUNCTION("IF(A551&lt;&gt;"""", 
   IF(COUNTA(SPLIT(TRIM(A551), "" ""))=1, 
      LOWER(TRIM(A551)) &amp; ""@zupee.in"", 
      LOWER(INDEX(SPLIT(TRIM(A551), "" ""), 1)) &amp; ""."" &amp; LOWER(INDEX(SPLIT(TRIM(A551), "" ""), COUNTA(SPLIT(TRIM(A551), "" "")))) &amp; ""@zupee.in""
   ), 
"&amp;"   """")"),"")</f>
        <v/>
      </c>
      <c r="C551" s="10"/>
    </row>
    <row r="552" ht="15.75" customHeight="1">
      <c r="A552" s="12"/>
      <c r="B552" s="9" t="str">
        <f>IFERROR(__xludf.DUMMYFUNCTION("IF(A552&lt;&gt;"""", 
   IF(COUNTA(SPLIT(TRIM(A552), "" ""))=1, 
      LOWER(TRIM(A552)) &amp; ""@zupee.in"", 
      LOWER(INDEX(SPLIT(TRIM(A552), "" ""), 1)) &amp; ""."" &amp; LOWER(INDEX(SPLIT(TRIM(A552), "" ""), COUNTA(SPLIT(TRIM(A552), "" "")))) &amp; ""@zupee.in""
   ), 
"&amp;"   """")"),"")</f>
        <v/>
      </c>
      <c r="C552" s="10"/>
    </row>
    <row r="553" ht="15.75" customHeight="1">
      <c r="A553" s="12"/>
      <c r="B553" s="9" t="str">
        <f>IFERROR(__xludf.DUMMYFUNCTION("IF(A553&lt;&gt;"""", 
   IF(COUNTA(SPLIT(TRIM(A553), "" ""))=1, 
      LOWER(TRIM(A553)) &amp; ""@zupee.in"", 
      LOWER(INDEX(SPLIT(TRIM(A553), "" ""), 1)) &amp; ""."" &amp; LOWER(INDEX(SPLIT(TRIM(A553), "" ""), COUNTA(SPLIT(TRIM(A553), "" "")))) &amp; ""@zupee.in""
   ), 
"&amp;"   """")"),"")</f>
        <v/>
      </c>
      <c r="C553" s="10"/>
    </row>
    <row r="554" ht="15.75" customHeight="1">
      <c r="A554" s="12"/>
      <c r="B554" s="9" t="str">
        <f>IFERROR(__xludf.DUMMYFUNCTION("IF(A554&lt;&gt;"""", 
   IF(COUNTA(SPLIT(TRIM(A554), "" ""))=1, 
      LOWER(TRIM(A554)) &amp; ""@zupee.in"", 
      LOWER(INDEX(SPLIT(TRIM(A554), "" ""), 1)) &amp; ""."" &amp; LOWER(INDEX(SPLIT(TRIM(A554), "" ""), COUNTA(SPLIT(TRIM(A554), "" "")))) &amp; ""@zupee.in""
   ), 
"&amp;"   """")"),"")</f>
        <v/>
      </c>
      <c r="C554" s="10"/>
    </row>
    <row r="555" ht="15.75" customHeight="1">
      <c r="A555" s="12"/>
      <c r="B555" s="9" t="str">
        <f>IFERROR(__xludf.DUMMYFUNCTION("IF(A555&lt;&gt;"""", 
   IF(COUNTA(SPLIT(TRIM(A555), "" ""))=1, 
      LOWER(TRIM(A555)) &amp; ""@zupee.in"", 
      LOWER(INDEX(SPLIT(TRIM(A555), "" ""), 1)) &amp; ""."" &amp; LOWER(INDEX(SPLIT(TRIM(A555), "" ""), COUNTA(SPLIT(TRIM(A555), "" "")))) &amp; ""@zupee.in""
   ), 
"&amp;"   """")"),"")</f>
        <v/>
      </c>
      <c r="C555" s="10"/>
    </row>
    <row r="556" ht="15.75" customHeight="1">
      <c r="A556" s="12"/>
      <c r="B556" s="9" t="str">
        <f>IFERROR(__xludf.DUMMYFUNCTION("IF(A556&lt;&gt;"""", 
   IF(COUNTA(SPLIT(TRIM(A556), "" ""))=1, 
      LOWER(TRIM(A556)) &amp; ""@zupee.in"", 
      LOWER(INDEX(SPLIT(TRIM(A556), "" ""), 1)) &amp; ""."" &amp; LOWER(INDEX(SPLIT(TRIM(A556), "" ""), COUNTA(SPLIT(TRIM(A556), "" "")))) &amp; ""@zupee.in""
   ), 
"&amp;"   """")"),"")</f>
        <v/>
      </c>
      <c r="C556" s="10"/>
    </row>
    <row r="557" ht="15.75" customHeight="1">
      <c r="A557" s="12"/>
      <c r="B557" s="9" t="str">
        <f>IFERROR(__xludf.DUMMYFUNCTION("IF(A557&lt;&gt;"""", 
   IF(COUNTA(SPLIT(TRIM(A557), "" ""))=1, 
      LOWER(TRIM(A557)) &amp; ""@zupee.in"", 
      LOWER(INDEX(SPLIT(TRIM(A557), "" ""), 1)) &amp; ""."" &amp; LOWER(INDEX(SPLIT(TRIM(A557), "" ""), COUNTA(SPLIT(TRIM(A557), "" "")))) &amp; ""@zupee.in""
   ), 
"&amp;"   """")"),"")</f>
        <v/>
      </c>
      <c r="C557" s="10"/>
    </row>
    <row r="558" ht="15.75" customHeight="1">
      <c r="A558" s="12"/>
      <c r="B558" s="9" t="str">
        <f>IFERROR(__xludf.DUMMYFUNCTION("IF(A558&lt;&gt;"""", 
   IF(COUNTA(SPLIT(TRIM(A558), "" ""))=1, 
      LOWER(TRIM(A558)) &amp; ""@zupee.in"", 
      LOWER(INDEX(SPLIT(TRIM(A558), "" ""), 1)) &amp; ""."" &amp; LOWER(INDEX(SPLIT(TRIM(A558), "" ""), COUNTA(SPLIT(TRIM(A558), "" "")))) &amp; ""@zupee.in""
   ), 
"&amp;"   """")"),"")</f>
        <v/>
      </c>
      <c r="C558" s="10"/>
    </row>
    <row r="559" ht="15.75" customHeight="1">
      <c r="A559" s="12"/>
      <c r="B559" s="9" t="str">
        <f>IFERROR(__xludf.DUMMYFUNCTION("IF(A559&lt;&gt;"""", 
   IF(COUNTA(SPLIT(TRIM(A559), "" ""))=1, 
      LOWER(TRIM(A559)) &amp; ""@zupee.in"", 
      LOWER(INDEX(SPLIT(TRIM(A559), "" ""), 1)) &amp; ""."" &amp; LOWER(INDEX(SPLIT(TRIM(A559), "" ""), COUNTA(SPLIT(TRIM(A559), "" "")))) &amp; ""@zupee.in""
   ), 
"&amp;"   """")"),"")</f>
        <v/>
      </c>
      <c r="C559" s="10"/>
    </row>
    <row r="560" ht="15.75" customHeight="1">
      <c r="A560" s="12"/>
      <c r="B560" s="9" t="str">
        <f>IFERROR(__xludf.DUMMYFUNCTION("IF(A560&lt;&gt;"""", 
   IF(COUNTA(SPLIT(TRIM(A560), "" ""))=1, 
      LOWER(TRIM(A560)) &amp; ""@zupee.in"", 
      LOWER(INDEX(SPLIT(TRIM(A560), "" ""), 1)) &amp; ""."" &amp; LOWER(INDEX(SPLIT(TRIM(A560), "" ""), COUNTA(SPLIT(TRIM(A560), "" "")))) &amp; ""@zupee.in""
   ), 
"&amp;"   """")"),"")</f>
        <v/>
      </c>
      <c r="C560" s="10"/>
    </row>
    <row r="561" ht="15.75" customHeight="1">
      <c r="A561" s="12"/>
      <c r="B561" s="9" t="str">
        <f>IFERROR(__xludf.DUMMYFUNCTION("IF(A561&lt;&gt;"""", 
   IF(COUNTA(SPLIT(TRIM(A561), "" ""))=1, 
      LOWER(TRIM(A561)) &amp; ""@zupee.in"", 
      LOWER(INDEX(SPLIT(TRIM(A561), "" ""), 1)) &amp; ""."" &amp; LOWER(INDEX(SPLIT(TRIM(A561), "" ""), COUNTA(SPLIT(TRIM(A561), "" "")))) &amp; ""@zupee.in""
   ), 
"&amp;"   """")"),"")</f>
        <v/>
      </c>
      <c r="C561" s="10"/>
    </row>
    <row r="562" ht="15.75" customHeight="1">
      <c r="A562" s="12"/>
      <c r="B562" s="9" t="str">
        <f>IFERROR(__xludf.DUMMYFUNCTION("IF(A562&lt;&gt;"""", 
   IF(COUNTA(SPLIT(TRIM(A562), "" ""))=1, 
      LOWER(TRIM(A562)) &amp; ""@zupee.in"", 
      LOWER(INDEX(SPLIT(TRIM(A562), "" ""), 1)) &amp; ""."" &amp; LOWER(INDEX(SPLIT(TRIM(A562), "" ""), COUNTA(SPLIT(TRIM(A562), "" "")))) &amp; ""@zupee.in""
   ), 
"&amp;"   """")"),"")</f>
        <v/>
      </c>
      <c r="C562" s="10"/>
    </row>
    <row r="563" ht="15.75" customHeight="1">
      <c r="A563" s="12"/>
      <c r="B563" s="9" t="str">
        <f>IFERROR(__xludf.DUMMYFUNCTION("IF(A563&lt;&gt;"""", 
   IF(COUNTA(SPLIT(TRIM(A563), "" ""))=1, 
      LOWER(TRIM(A563)) &amp; ""@zupee.in"", 
      LOWER(INDEX(SPLIT(TRIM(A563), "" ""), 1)) &amp; ""."" &amp; LOWER(INDEX(SPLIT(TRIM(A563), "" ""), COUNTA(SPLIT(TRIM(A563), "" "")))) &amp; ""@zupee.in""
   ), 
"&amp;"   """")"),"")</f>
        <v/>
      </c>
      <c r="C563" s="10"/>
    </row>
    <row r="564" ht="15.75" customHeight="1">
      <c r="A564" s="12"/>
      <c r="B564" s="9" t="str">
        <f>IFERROR(__xludf.DUMMYFUNCTION("IF(A564&lt;&gt;"""", 
   IF(COUNTA(SPLIT(TRIM(A564), "" ""))=1, 
      LOWER(TRIM(A564)) &amp; ""@zupee.in"", 
      LOWER(INDEX(SPLIT(TRIM(A564), "" ""), 1)) &amp; ""."" &amp; LOWER(INDEX(SPLIT(TRIM(A564), "" ""), COUNTA(SPLIT(TRIM(A564), "" "")))) &amp; ""@zupee.in""
   ), 
"&amp;"   """")"),"")</f>
        <v/>
      </c>
      <c r="C564" s="10"/>
    </row>
    <row r="565" ht="15.75" customHeight="1">
      <c r="A565" s="12"/>
      <c r="B565" s="9" t="str">
        <f>IFERROR(__xludf.DUMMYFUNCTION("IF(A565&lt;&gt;"""", 
   IF(COUNTA(SPLIT(TRIM(A565), "" ""))=1, 
      LOWER(TRIM(A565)) &amp; ""@zupee.in"", 
      LOWER(INDEX(SPLIT(TRIM(A565), "" ""), 1)) &amp; ""."" &amp; LOWER(INDEX(SPLIT(TRIM(A565), "" ""), COUNTA(SPLIT(TRIM(A565), "" "")))) &amp; ""@zupee.in""
   ), 
"&amp;"   """")"),"")</f>
        <v/>
      </c>
      <c r="C565" s="10"/>
    </row>
    <row r="566" ht="15.75" customHeight="1">
      <c r="A566" s="12"/>
      <c r="B566" s="9" t="str">
        <f>IFERROR(__xludf.DUMMYFUNCTION("IF(A566&lt;&gt;"""", 
   IF(COUNTA(SPLIT(TRIM(A566), "" ""))=1, 
      LOWER(TRIM(A566)) &amp; ""@zupee.in"", 
      LOWER(INDEX(SPLIT(TRIM(A566), "" ""), 1)) &amp; ""."" &amp; LOWER(INDEX(SPLIT(TRIM(A566), "" ""), COUNTA(SPLIT(TRIM(A566), "" "")))) &amp; ""@zupee.in""
   ), 
"&amp;"   """")"),"")</f>
        <v/>
      </c>
      <c r="C566" s="10"/>
    </row>
    <row r="567" ht="15.75" customHeight="1">
      <c r="A567" s="12"/>
      <c r="B567" s="9" t="str">
        <f>IFERROR(__xludf.DUMMYFUNCTION("IF(A567&lt;&gt;"""", 
   IF(COUNTA(SPLIT(TRIM(A567), "" ""))=1, 
      LOWER(TRIM(A567)) &amp; ""@zupee.in"", 
      LOWER(INDEX(SPLIT(TRIM(A567), "" ""), 1)) &amp; ""."" &amp; LOWER(INDEX(SPLIT(TRIM(A567), "" ""), COUNTA(SPLIT(TRIM(A567), "" "")))) &amp; ""@zupee.in""
   ), 
"&amp;"   """")"),"")</f>
        <v/>
      </c>
      <c r="C567" s="10"/>
    </row>
    <row r="568" ht="15.75" customHeight="1">
      <c r="A568" s="12"/>
      <c r="B568" s="9" t="str">
        <f>IFERROR(__xludf.DUMMYFUNCTION("IF(A568&lt;&gt;"""", 
   IF(COUNTA(SPLIT(TRIM(A568), "" ""))=1, 
      LOWER(TRIM(A568)) &amp; ""@zupee.in"", 
      LOWER(INDEX(SPLIT(TRIM(A568), "" ""), 1)) &amp; ""."" &amp; LOWER(INDEX(SPLIT(TRIM(A568), "" ""), COUNTA(SPLIT(TRIM(A568), "" "")))) &amp; ""@zupee.in""
   ), 
"&amp;"   """")"),"")</f>
        <v/>
      </c>
      <c r="C568" s="10"/>
    </row>
    <row r="569" ht="15.75" customHeight="1">
      <c r="A569" s="12"/>
      <c r="B569" s="9" t="str">
        <f>IFERROR(__xludf.DUMMYFUNCTION("IF(A569&lt;&gt;"""", 
   IF(COUNTA(SPLIT(TRIM(A569), "" ""))=1, 
      LOWER(TRIM(A569)) &amp; ""@zupee.in"", 
      LOWER(INDEX(SPLIT(TRIM(A569), "" ""), 1)) &amp; ""."" &amp; LOWER(INDEX(SPLIT(TRIM(A569), "" ""), COUNTA(SPLIT(TRIM(A569), "" "")))) &amp; ""@zupee.in""
   ), 
"&amp;"   """")"),"")</f>
        <v/>
      </c>
      <c r="C569" s="10"/>
    </row>
    <row r="570" ht="15.75" customHeight="1">
      <c r="A570" s="12"/>
      <c r="B570" s="9" t="str">
        <f>IFERROR(__xludf.DUMMYFUNCTION("IF(A570&lt;&gt;"""", 
   IF(COUNTA(SPLIT(TRIM(A570), "" ""))=1, 
      LOWER(TRIM(A570)) &amp; ""@zupee.in"", 
      LOWER(INDEX(SPLIT(TRIM(A570), "" ""), 1)) &amp; ""."" &amp; LOWER(INDEX(SPLIT(TRIM(A570), "" ""), COUNTA(SPLIT(TRIM(A570), "" "")))) &amp; ""@zupee.in""
   ), 
"&amp;"   """")"),"")</f>
        <v/>
      </c>
      <c r="C570" s="10"/>
    </row>
    <row r="571" ht="15.75" customHeight="1">
      <c r="A571" s="12"/>
      <c r="B571" s="9" t="str">
        <f>IFERROR(__xludf.DUMMYFUNCTION("IF(A571&lt;&gt;"""", 
   IF(COUNTA(SPLIT(TRIM(A571), "" ""))=1, 
      LOWER(TRIM(A571)) &amp; ""@zupee.in"", 
      LOWER(INDEX(SPLIT(TRIM(A571), "" ""), 1)) &amp; ""."" &amp; LOWER(INDEX(SPLIT(TRIM(A571), "" ""), COUNTA(SPLIT(TRIM(A571), "" "")))) &amp; ""@zupee.in""
   ), 
"&amp;"   """")"),"")</f>
        <v/>
      </c>
      <c r="C571" s="10"/>
    </row>
    <row r="572" ht="15.75" customHeight="1">
      <c r="A572" s="12"/>
      <c r="B572" s="9" t="str">
        <f>IFERROR(__xludf.DUMMYFUNCTION("IF(A572&lt;&gt;"""", 
   IF(COUNTA(SPLIT(TRIM(A572), "" ""))=1, 
      LOWER(TRIM(A572)) &amp; ""@zupee.in"", 
      LOWER(INDEX(SPLIT(TRIM(A572), "" ""), 1)) &amp; ""."" &amp; LOWER(INDEX(SPLIT(TRIM(A572), "" ""), COUNTA(SPLIT(TRIM(A572), "" "")))) &amp; ""@zupee.in""
   ), 
"&amp;"   """")"),"")</f>
        <v/>
      </c>
      <c r="C572" s="10"/>
    </row>
    <row r="573" ht="15.75" customHeight="1">
      <c r="A573" s="12"/>
      <c r="B573" s="9" t="str">
        <f>IFERROR(__xludf.DUMMYFUNCTION("IF(A573&lt;&gt;"""", 
   IF(COUNTA(SPLIT(TRIM(A573), "" ""))=1, 
      LOWER(TRIM(A573)) &amp; ""@zupee.in"", 
      LOWER(INDEX(SPLIT(TRIM(A573), "" ""), 1)) &amp; ""."" &amp; LOWER(INDEX(SPLIT(TRIM(A573), "" ""), COUNTA(SPLIT(TRIM(A573), "" "")))) &amp; ""@zupee.in""
   ), 
"&amp;"   """")"),"")</f>
        <v/>
      </c>
      <c r="C573" s="10"/>
    </row>
    <row r="574" ht="15.75" customHeight="1">
      <c r="A574" s="12"/>
      <c r="B574" s="9" t="str">
        <f>IFERROR(__xludf.DUMMYFUNCTION("IF(A574&lt;&gt;"""", 
   IF(COUNTA(SPLIT(TRIM(A574), "" ""))=1, 
      LOWER(TRIM(A574)) &amp; ""@zupee.in"", 
      LOWER(INDEX(SPLIT(TRIM(A574), "" ""), 1)) &amp; ""."" &amp; LOWER(INDEX(SPLIT(TRIM(A574), "" ""), COUNTA(SPLIT(TRIM(A574), "" "")))) &amp; ""@zupee.in""
   ), 
"&amp;"   """")"),"")</f>
        <v/>
      </c>
      <c r="C574" s="10"/>
    </row>
    <row r="575" ht="15.75" customHeight="1">
      <c r="A575" s="12"/>
      <c r="B575" s="9" t="str">
        <f>IFERROR(__xludf.DUMMYFUNCTION("IF(A575&lt;&gt;"""", 
   IF(COUNTA(SPLIT(TRIM(A575), "" ""))=1, 
      LOWER(TRIM(A575)) &amp; ""@zupee.in"", 
      LOWER(INDEX(SPLIT(TRIM(A575), "" ""), 1)) &amp; ""."" &amp; LOWER(INDEX(SPLIT(TRIM(A575), "" ""), COUNTA(SPLIT(TRIM(A575), "" "")))) &amp; ""@zupee.in""
   ), 
"&amp;"   """")"),"")</f>
        <v/>
      </c>
      <c r="C575" s="10"/>
    </row>
    <row r="576" ht="15.75" customHeight="1">
      <c r="A576" s="12"/>
      <c r="B576" s="9" t="str">
        <f>IFERROR(__xludf.DUMMYFUNCTION("IF(A576&lt;&gt;"""", 
   IF(COUNTA(SPLIT(TRIM(A576), "" ""))=1, 
      LOWER(TRIM(A576)) &amp; ""@zupee.in"", 
      LOWER(INDEX(SPLIT(TRIM(A576), "" ""), 1)) &amp; ""."" &amp; LOWER(INDEX(SPLIT(TRIM(A576), "" ""), COUNTA(SPLIT(TRIM(A576), "" "")))) &amp; ""@zupee.in""
   ), 
"&amp;"   """")"),"")</f>
        <v/>
      </c>
      <c r="C576" s="10"/>
    </row>
    <row r="577" ht="15.75" customHeight="1">
      <c r="A577" s="12"/>
      <c r="B577" s="9" t="str">
        <f>IFERROR(__xludf.DUMMYFUNCTION("IF(A577&lt;&gt;"""", 
   IF(COUNTA(SPLIT(TRIM(A577), "" ""))=1, 
      LOWER(TRIM(A577)) &amp; ""@zupee.in"", 
      LOWER(INDEX(SPLIT(TRIM(A577), "" ""), 1)) &amp; ""."" &amp; LOWER(INDEX(SPLIT(TRIM(A577), "" ""), COUNTA(SPLIT(TRIM(A577), "" "")))) &amp; ""@zupee.in""
   ), 
"&amp;"   """")"),"")</f>
        <v/>
      </c>
      <c r="C577" s="10"/>
    </row>
    <row r="578" ht="15.75" customHeight="1">
      <c r="A578" s="12"/>
      <c r="B578" s="9" t="str">
        <f>IFERROR(__xludf.DUMMYFUNCTION("IF(A578&lt;&gt;"""", 
   IF(COUNTA(SPLIT(TRIM(A578), "" ""))=1, 
      LOWER(TRIM(A578)) &amp; ""@zupee.in"", 
      LOWER(INDEX(SPLIT(TRIM(A578), "" ""), 1)) &amp; ""."" &amp; LOWER(INDEX(SPLIT(TRIM(A578), "" ""), COUNTA(SPLIT(TRIM(A578), "" "")))) &amp; ""@zupee.in""
   ), 
"&amp;"   """")"),"")</f>
        <v/>
      </c>
      <c r="C578" s="10"/>
    </row>
    <row r="579" ht="15.75" customHeight="1">
      <c r="A579" s="12"/>
      <c r="B579" s="9" t="str">
        <f>IFERROR(__xludf.DUMMYFUNCTION("IF(A579&lt;&gt;"""", 
   IF(COUNTA(SPLIT(TRIM(A579), "" ""))=1, 
      LOWER(TRIM(A579)) &amp; ""@zupee.in"", 
      LOWER(INDEX(SPLIT(TRIM(A579), "" ""), 1)) &amp; ""."" &amp; LOWER(INDEX(SPLIT(TRIM(A579), "" ""), COUNTA(SPLIT(TRIM(A579), "" "")))) &amp; ""@zupee.in""
   ), 
"&amp;"   """")"),"")</f>
        <v/>
      </c>
      <c r="C579" s="10"/>
    </row>
    <row r="580" ht="15.75" customHeight="1">
      <c r="A580" s="12"/>
      <c r="B580" s="9" t="str">
        <f>IFERROR(__xludf.DUMMYFUNCTION("IF(A580&lt;&gt;"""", 
   IF(COUNTA(SPLIT(TRIM(A580), "" ""))=1, 
      LOWER(TRIM(A580)) &amp; ""@zupee.in"", 
      LOWER(INDEX(SPLIT(TRIM(A580), "" ""), 1)) &amp; ""."" &amp; LOWER(INDEX(SPLIT(TRIM(A580), "" ""), COUNTA(SPLIT(TRIM(A580), "" "")))) &amp; ""@zupee.in""
   ), 
"&amp;"   """")"),"")</f>
        <v/>
      </c>
      <c r="C580" s="10"/>
    </row>
    <row r="581" ht="15.75" customHeight="1">
      <c r="A581" s="12"/>
      <c r="B581" s="9" t="str">
        <f>IFERROR(__xludf.DUMMYFUNCTION("IF(A581&lt;&gt;"""", 
   IF(COUNTA(SPLIT(TRIM(A581), "" ""))=1, 
      LOWER(TRIM(A581)) &amp; ""@zupee.in"", 
      LOWER(INDEX(SPLIT(TRIM(A581), "" ""), 1)) &amp; ""."" &amp; LOWER(INDEX(SPLIT(TRIM(A581), "" ""), COUNTA(SPLIT(TRIM(A581), "" "")))) &amp; ""@zupee.in""
   ), 
"&amp;"   """")"),"")</f>
        <v/>
      </c>
      <c r="C581" s="10"/>
    </row>
    <row r="582" ht="15.75" customHeight="1">
      <c r="A582" s="12"/>
      <c r="B582" s="9" t="str">
        <f>IFERROR(__xludf.DUMMYFUNCTION("IF(A582&lt;&gt;"""", 
   IF(COUNTA(SPLIT(TRIM(A582), "" ""))=1, 
      LOWER(TRIM(A582)) &amp; ""@zupee.in"", 
      LOWER(INDEX(SPLIT(TRIM(A582), "" ""), 1)) &amp; ""."" &amp; LOWER(INDEX(SPLIT(TRIM(A582), "" ""), COUNTA(SPLIT(TRIM(A582), "" "")))) &amp; ""@zupee.in""
   ), 
"&amp;"   """")"),"")</f>
        <v/>
      </c>
      <c r="C582" s="10"/>
    </row>
    <row r="583" ht="15.75" customHeight="1">
      <c r="A583" s="12"/>
      <c r="B583" s="9" t="str">
        <f>IFERROR(__xludf.DUMMYFUNCTION("IF(A583&lt;&gt;"""", 
   IF(COUNTA(SPLIT(TRIM(A583), "" ""))=1, 
      LOWER(TRIM(A583)) &amp; ""@zupee.in"", 
      LOWER(INDEX(SPLIT(TRIM(A583), "" ""), 1)) &amp; ""."" &amp; LOWER(INDEX(SPLIT(TRIM(A583), "" ""), COUNTA(SPLIT(TRIM(A583), "" "")))) &amp; ""@zupee.in""
   ), 
"&amp;"   """")"),"")</f>
        <v/>
      </c>
      <c r="C583" s="10"/>
    </row>
    <row r="584" ht="15.75" customHeight="1">
      <c r="A584" s="12"/>
      <c r="B584" s="9" t="str">
        <f>IFERROR(__xludf.DUMMYFUNCTION("IF(A584&lt;&gt;"""", 
   IF(COUNTA(SPLIT(TRIM(A584), "" ""))=1, 
      LOWER(TRIM(A584)) &amp; ""@zupee.in"", 
      LOWER(INDEX(SPLIT(TRIM(A584), "" ""), 1)) &amp; ""."" &amp; LOWER(INDEX(SPLIT(TRIM(A584), "" ""), COUNTA(SPLIT(TRIM(A584), "" "")))) &amp; ""@zupee.in""
   ), 
"&amp;"   """")"),"")</f>
        <v/>
      </c>
      <c r="C584" s="10"/>
    </row>
    <row r="585" ht="15.75" customHeight="1">
      <c r="A585" s="12"/>
      <c r="B585" s="9" t="str">
        <f>IFERROR(__xludf.DUMMYFUNCTION("IF(A585&lt;&gt;"""", 
   IF(COUNTA(SPLIT(TRIM(A585), "" ""))=1, 
      LOWER(TRIM(A585)) &amp; ""@zupee.in"", 
      LOWER(INDEX(SPLIT(TRIM(A585), "" ""), 1)) &amp; ""."" &amp; LOWER(INDEX(SPLIT(TRIM(A585), "" ""), COUNTA(SPLIT(TRIM(A585), "" "")))) &amp; ""@zupee.in""
   ), 
"&amp;"   """")"),"")</f>
        <v/>
      </c>
      <c r="C585" s="10"/>
    </row>
    <row r="586" ht="15.75" customHeight="1">
      <c r="A586" s="12"/>
      <c r="B586" s="9" t="str">
        <f>IFERROR(__xludf.DUMMYFUNCTION("IF(A586&lt;&gt;"""", 
   IF(COUNTA(SPLIT(TRIM(A586), "" ""))=1, 
      LOWER(TRIM(A586)) &amp; ""@zupee.in"", 
      LOWER(INDEX(SPLIT(TRIM(A586), "" ""), 1)) &amp; ""."" &amp; LOWER(INDEX(SPLIT(TRIM(A586), "" ""), COUNTA(SPLIT(TRIM(A586), "" "")))) &amp; ""@zupee.in""
   ), 
"&amp;"   """")"),"")</f>
        <v/>
      </c>
      <c r="C586" s="10"/>
    </row>
    <row r="587" ht="15.75" customHeight="1">
      <c r="A587" s="12"/>
      <c r="B587" s="9" t="str">
        <f>IFERROR(__xludf.DUMMYFUNCTION("IF(A587&lt;&gt;"""", 
   IF(COUNTA(SPLIT(TRIM(A587), "" ""))=1, 
      LOWER(TRIM(A587)) &amp; ""@zupee.in"", 
      LOWER(INDEX(SPLIT(TRIM(A587), "" ""), 1)) &amp; ""."" &amp; LOWER(INDEX(SPLIT(TRIM(A587), "" ""), COUNTA(SPLIT(TRIM(A587), "" "")))) &amp; ""@zupee.in""
   ), 
"&amp;"   """")"),"")</f>
        <v/>
      </c>
      <c r="C587" s="10"/>
    </row>
    <row r="588" ht="15.75" customHeight="1">
      <c r="A588" s="12"/>
      <c r="B588" s="9" t="str">
        <f>IFERROR(__xludf.DUMMYFUNCTION("IF(A588&lt;&gt;"""", 
   IF(COUNTA(SPLIT(TRIM(A588), "" ""))=1, 
      LOWER(TRIM(A588)) &amp; ""@zupee.in"", 
      LOWER(INDEX(SPLIT(TRIM(A588), "" ""), 1)) &amp; ""."" &amp; LOWER(INDEX(SPLIT(TRIM(A588), "" ""), COUNTA(SPLIT(TRIM(A588), "" "")))) &amp; ""@zupee.in""
   ), 
"&amp;"   """")"),"")</f>
        <v/>
      </c>
      <c r="C588" s="10"/>
    </row>
    <row r="589" ht="15.75" customHeight="1">
      <c r="A589" s="12"/>
      <c r="B589" s="9" t="str">
        <f>IFERROR(__xludf.DUMMYFUNCTION("IF(A589&lt;&gt;"""", 
   IF(COUNTA(SPLIT(TRIM(A589), "" ""))=1, 
      LOWER(TRIM(A589)) &amp; ""@zupee.in"", 
      LOWER(INDEX(SPLIT(TRIM(A589), "" ""), 1)) &amp; ""."" &amp; LOWER(INDEX(SPLIT(TRIM(A589), "" ""), COUNTA(SPLIT(TRIM(A589), "" "")))) &amp; ""@zupee.in""
   ), 
"&amp;"   """")"),"")</f>
        <v/>
      </c>
      <c r="C589" s="10"/>
    </row>
    <row r="590" ht="15.75" customHeight="1">
      <c r="A590" s="12"/>
      <c r="B590" s="9" t="str">
        <f>IFERROR(__xludf.DUMMYFUNCTION("IF(A590&lt;&gt;"""", 
   IF(COUNTA(SPLIT(TRIM(A590), "" ""))=1, 
      LOWER(TRIM(A590)) &amp; ""@zupee.in"", 
      LOWER(INDEX(SPLIT(TRIM(A590), "" ""), 1)) &amp; ""."" &amp; LOWER(INDEX(SPLIT(TRIM(A590), "" ""), COUNTA(SPLIT(TRIM(A590), "" "")))) &amp; ""@zupee.in""
   ), 
"&amp;"   """")"),"")</f>
        <v/>
      </c>
      <c r="C590" s="10"/>
    </row>
    <row r="591" ht="15.75" customHeight="1">
      <c r="A591" s="12"/>
      <c r="B591" s="9" t="str">
        <f>IFERROR(__xludf.DUMMYFUNCTION("IF(A591&lt;&gt;"""", 
   IF(COUNTA(SPLIT(TRIM(A591), "" ""))=1, 
      LOWER(TRIM(A591)) &amp; ""@zupee.in"", 
      LOWER(INDEX(SPLIT(TRIM(A591), "" ""), 1)) &amp; ""."" &amp; LOWER(INDEX(SPLIT(TRIM(A591), "" ""), COUNTA(SPLIT(TRIM(A591), "" "")))) &amp; ""@zupee.in""
   ), 
"&amp;"   """")"),"")</f>
        <v/>
      </c>
      <c r="C591" s="10"/>
    </row>
    <row r="592" ht="15.75" customHeight="1">
      <c r="A592" s="12"/>
      <c r="B592" s="9" t="str">
        <f>IFERROR(__xludf.DUMMYFUNCTION("IF(A592&lt;&gt;"""", 
   IF(COUNTA(SPLIT(TRIM(A592), "" ""))=1, 
      LOWER(TRIM(A592)) &amp; ""@zupee.in"", 
      LOWER(INDEX(SPLIT(TRIM(A592), "" ""), 1)) &amp; ""."" &amp; LOWER(INDEX(SPLIT(TRIM(A592), "" ""), COUNTA(SPLIT(TRIM(A592), "" "")))) &amp; ""@zupee.in""
   ), 
"&amp;"   """")"),"")</f>
        <v/>
      </c>
      <c r="C592" s="10"/>
    </row>
    <row r="593" ht="15.75" customHeight="1">
      <c r="A593" s="12"/>
      <c r="B593" s="9" t="str">
        <f>IFERROR(__xludf.DUMMYFUNCTION("IF(A593&lt;&gt;"""", 
   IF(COUNTA(SPLIT(TRIM(A593), "" ""))=1, 
      LOWER(TRIM(A593)) &amp; ""@zupee.in"", 
      LOWER(INDEX(SPLIT(TRIM(A593), "" ""), 1)) &amp; ""."" &amp; LOWER(INDEX(SPLIT(TRIM(A593), "" ""), COUNTA(SPLIT(TRIM(A593), "" "")))) &amp; ""@zupee.in""
   ), 
"&amp;"   """")"),"")</f>
        <v/>
      </c>
      <c r="C593" s="10"/>
    </row>
    <row r="594" ht="15.75" customHeight="1">
      <c r="A594" s="12"/>
      <c r="B594" s="9" t="str">
        <f>IFERROR(__xludf.DUMMYFUNCTION("IF(A594&lt;&gt;"""", 
   IF(COUNTA(SPLIT(TRIM(A594), "" ""))=1, 
      LOWER(TRIM(A594)) &amp; ""@zupee.in"", 
      LOWER(INDEX(SPLIT(TRIM(A594), "" ""), 1)) &amp; ""."" &amp; LOWER(INDEX(SPLIT(TRIM(A594), "" ""), COUNTA(SPLIT(TRIM(A594), "" "")))) &amp; ""@zupee.in""
   ), 
"&amp;"   """")"),"")</f>
        <v/>
      </c>
      <c r="C594" s="10"/>
    </row>
    <row r="595" ht="15.75" customHeight="1">
      <c r="A595" s="12"/>
      <c r="B595" s="9" t="str">
        <f>IFERROR(__xludf.DUMMYFUNCTION("IF(A595&lt;&gt;"""", 
   IF(COUNTA(SPLIT(TRIM(A595), "" ""))=1, 
      LOWER(TRIM(A595)) &amp; ""@zupee.in"", 
      LOWER(INDEX(SPLIT(TRIM(A595), "" ""), 1)) &amp; ""."" &amp; LOWER(INDEX(SPLIT(TRIM(A595), "" ""), COUNTA(SPLIT(TRIM(A595), "" "")))) &amp; ""@zupee.in""
   ), 
"&amp;"   """")"),"")</f>
        <v/>
      </c>
      <c r="C595" s="10"/>
    </row>
    <row r="596" ht="15.75" customHeight="1">
      <c r="A596" s="12"/>
      <c r="B596" s="9" t="str">
        <f>IFERROR(__xludf.DUMMYFUNCTION("IF(A596&lt;&gt;"""", 
   IF(COUNTA(SPLIT(TRIM(A596), "" ""))=1, 
      LOWER(TRIM(A596)) &amp; ""@zupee.in"", 
      LOWER(INDEX(SPLIT(TRIM(A596), "" ""), 1)) &amp; ""."" &amp; LOWER(INDEX(SPLIT(TRIM(A596), "" ""), COUNTA(SPLIT(TRIM(A596), "" "")))) &amp; ""@zupee.in""
   ), 
"&amp;"   """")"),"")</f>
        <v/>
      </c>
      <c r="C596" s="10"/>
    </row>
    <row r="597" ht="15.75" customHeight="1">
      <c r="A597" s="12"/>
      <c r="B597" s="9" t="str">
        <f>IFERROR(__xludf.DUMMYFUNCTION("IF(A597&lt;&gt;"""", 
   IF(COUNTA(SPLIT(TRIM(A597), "" ""))=1, 
      LOWER(TRIM(A597)) &amp; ""@zupee.in"", 
      LOWER(INDEX(SPLIT(TRIM(A597), "" ""), 1)) &amp; ""."" &amp; LOWER(INDEX(SPLIT(TRIM(A597), "" ""), COUNTA(SPLIT(TRIM(A597), "" "")))) &amp; ""@zupee.in""
   ), 
"&amp;"   """")"),"")</f>
        <v/>
      </c>
      <c r="C597" s="10"/>
    </row>
    <row r="598" ht="15.75" customHeight="1">
      <c r="A598" s="12"/>
      <c r="B598" s="9" t="str">
        <f>IFERROR(__xludf.DUMMYFUNCTION("IF(A598&lt;&gt;"""", 
   IF(COUNTA(SPLIT(TRIM(A598), "" ""))=1, 
      LOWER(TRIM(A598)) &amp; ""@zupee.in"", 
      LOWER(INDEX(SPLIT(TRIM(A598), "" ""), 1)) &amp; ""."" &amp; LOWER(INDEX(SPLIT(TRIM(A598), "" ""), COUNTA(SPLIT(TRIM(A598), "" "")))) &amp; ""@zupee.in""
   ), 
"&amp;"   """")"),"")</f>
        <v/>
      </c>
      <c r="C598" s="10"/>
    </row>
    <row r="599" ht="15.75" customHeight="1">
      <c r="A599" s="12"/>
      <c r="B599" s="9" t="str">
        <f>IFERROR(__xludf.DUMMYFUNCTION("IF(A599&lt;&gt;"""", 
   IF(COUNTA(SPLIT(TRIM(A599), "" ""))=1, 
      LOWER(TRIM(A599)) &amp; ""@zupee.in"", 
      LOWER(INDEX(SPLIT(TRIM(A599), "" ""), 1)) &amp; ""."" &amp; LOWER(INDEX(SPLIT(TRIM(A599), "" ""), COUNTA(SPLIT(TRIM(A599), "" "")))) &amp; ""@zupee.in""
   ), 
"&amp;"   """")"),"")</f>
        <v/>
      </c>
      <c r="C599" s="10"/>
    </row>
    <row r="600" ht="15.75" customHeight="1">
      <c r="A600" s="12"/>
      <c r="B600" s="9" t="str">
        <f>IFERROR(__xludf.DUMMYFUNCTION("IF(A600&lt;&gt;"""", 
   IF(COUNTA(SPLIT(TRIM(A600), "" ""))=1, 
      LOWER(TRIM(A600)) &amp; ""@zupee.in"", 
      LOWER(INDEX(SPLIT(TRIM(A600), "" ""), 1)) &amp; ""."" &amp; LOWER(INDEX(SPLIT(TRIM(A600), "" ""), COUNTA(SPLIT(TRIM(A600), "" "")))) &amp; ""@zupee.in""
   ), 
"&amp;"   """")"),"")</f>
        <v/>
      </c>
      <c r="C600" s="10"/>
    </row>
    <row r="601" ht="15.75" customHeight="1">
      <c r="A601" s="12"/>
      <c r="B601" s="9" t="str">
        <f>IFERROR(__xludf.DUMMYFUNCTION("IF(A601&lt;&gt;"""", 
   IF(COUNTA(SPLIT(TRIM(A601), "" ""))=1, 
      LOWER(TRIM(A601)) &amp; ""@zupee.in"", 
      LOWER(INDEX(SPLIT(TRIM(A601), "" ""), 1)) &amp; ""."" &amp; LOWER(INDEX(SPLIT(TRIM(A601), "" ""), COUNTA(SPLIT(TRIM(A601), "" "")))) &amp; ""@zupee.in""
   ), 
"&amp;"   """")"),"")</f>
        <v/>
      </c>
      <c r="C601" s="10"/>
    </row>
    <row r="602" ht="15.75" customHeight="1">
      <c r="A602" s="12"/>
      <c r="B602" s="9" t="str">
        <f>IFERROR(__xludf.DUMMYFUNCTION("IF(A602&lt;&gt;"""", 
   IF(COUNTA(SPLIT(TRIM(A602), "" ""))=1, 
      LOWER(TRIM(A602)) &amp; ""@zupee.in"", 
      LOWER(INDEX(SPLIT(TRIM(A602), "" ""), 1)) &amp; ""."" &amp; LOWER(INDEX(SPLIT(TRIM(A602), "" ""), COUNTA(SPLIT(TRIM(A602), "" "")))) &amp; ""@zupee.in""
   ), 
"&amp;"   """")"),"")</f>
        <v/>
      </c>
      <c r="C602" s="10"/>
    </row>
    <row r="603" ht="15.75" customHeight="1">
      <c r="A603" s="12"/>
      <c r="B603" s="9" t="str">
        <f>IFERROR(__xludf.DUMMYFUNCTION("IF(A603&lt;&gt;"""", 
   IF(COUNTA(SPLIT(TRIM(A603), "" ""))=1, 
      LOWER(TRIM(A603)) &amp; ""@zupee.in"", 
      LOWER(INDEX(SPLIT(TRIM(A603), "" ""), 1)) &amp; ""."" &amp; LOWER(INDEX(SPLIT(TRIM(A603), "" ""), COUNTA(SPLIT(TRIM(A603), "" "")))) &amp; ""@zupee.in""
   ), 
"&amp;"   """")"),"")</f>
        <v/>
      </c>
      <c r="C603" s="10"/>
    </row>
    <row r="604" ht="15.75" customHeight="1">
      <c r="A604" s="12"/>
      <c r="B604" s="9" t="str">
        <f>IFERROR(__xludf.DUMMYFUNCTION("IF(A604&lt;&gt;"""", 
   IF(COUNTA(SPLIT(TRIM(A604), "" ""))=1, 
      LOWER(TRIM(A604)) &amp; ""@zupee.in"", 
      LOWER(INDEX(SPLIT(TRIM(A604), "" ""), 1)) &amp; ""."" &amp; LOWER(INDEX(SPLIT(TRIM(A604), "" ""), COUNTA(SPLIT(TRIM(A604), "" "")))) &amp; ""@zupee.in""
   ), 
"&amp;"   """")"),"")</f>
        <v/>
      </c>
      <c r="C604" s="10"/>
    </row>
    <row r="605" ht="15.75" customHeight="1">
      <c r="A605" s="12"/>
      <c r="B605" s="9" t="str">
        <f>IFERROR(__xludf.DUMMYFUNCTION("IF(A605&lt;&gt;"""", 
   IF(COUNTA(SPLIT(TRIM(A605), "" ""))=1, 
      LOWER(TRIM(A605)) &amp; ""@zupee.in"", 
      LOWER(INDEX(SPLIT(TRIM(A605), "" ""), 1)) &amp; ""."" &amp; LOWER(INDEX(SPLIT(TRIM(A605), "" ""), COUNTA(SPLIT(TRIM(A605), "" "")))) &amp; ""@zupee.in""
   ), 
"&amp;"   """")"),"")</f>
        <v/>
      </c>
      <c r="C605" s="10"/>
    </row>
    <row r="606" ht="15.75" customHeight="1">
      <c r="A606" s="12"/>
      <c r="B606" s="9" t="str">
        <f>IFERROR(__xludf.DUMMYFUNCTION("IF(A606&lt;&gt;"""", 
   IF(COUNTA(SPLIT(TRIM(A606), "" ""))=1, 
      LOWER(TRIM(A606)) &amp; ""@zupee.in"", 
      LOWER(INDEX(SPLIT(TRIM(A606), "" ""), 1)) &amp; ""."" &amp; LOWER(INDEX(SPLIT(TRIM(A606), "" ""), COUNTA(SPLIT(TRIM(A606), "" "")))) &amp; ""@zupee.in""
   ), 
"&amp;"   """")"),"")</f>
        <v/>
      </c>
      <c r="C606" s="10"/>
    </row>
    <row r="607" ht="15.75" customHeight="1">
      <c r="A607" s="12"/>
      <c r="B607" s="9" t="str">
        <f>IFERROR(__xludf.DUMMYFUNCTION("IF(A607&lt;&gt;"""", 
   IF(COUNTA(SPLIT(TRIM(A607), "" ""))=1, 
      LOWER(TRIM(A607)) &amp; ""@zupee.in"", 
      LOWER(INDEX(SPLIT(TRIM(A607), "" ""), 1)) &amp; ""."" &amp; LOWER(INDEX(SPLIT(TRIM(A607), "" ""), COUNTA(SPLIT(TRIM(A607), "" "")))) &amp; ""@zupee.in""
   ), 
"&amp;"   """")"),"")</f>
        <v/>
      </c>
      <c r="C607" s="10"/>
    </row>
    <row r="608" ht="15.75" customHeight="1">
      <c r="A608" s="12"/>
      <c r="B608" s="9" t="str">
        <f>IFERROR(__xludf.DUMMYFUNCTION("IF(A608&lt;&gt;"""", 
   IF(COUNTA(SPLIT(TRIM(A608), "" ""))=1, 
      LOWER(TRIM(A608)) &amp; ""@zupee.in"", 
      LOWER(INDEX(SPLIT(TRIM(A608), "" ""), 1)) &amp; ""."" &amp; LOWER(INDEX(SPLIT(TRIM(A608), "" ""), COUNTA(SPLIT(TRIM(A608), "" "")))) &amp; ""@zupee.in""
   ), 
"&amp;"   """")"),"")</f>
        <v/>
      </c>
      <c r="C608" s="10"/>
    </row>
    <row r="609" ht="15.75" customHeight="1">
      <c r="A609" s="12"/>
      <c r="B609" s="9" t="str">
        <f>IFERROR(__xludf.DUMMYFUNCTION("IF(A609&lt;&gt;"""", 
   IF(COUNTA(SPLIT(TRIM(A609), "" ""))=1, 
      LOWER(TRIM(A609)) &amp; ""@zupee.in"", 
      LOWER(INDEX(SPLIT(TRIM(A609), "" ""), 1)) &amp; ""."" &amp; LOWER(INDEX(SPLIT(TRIM(A609), "" ""), COUNTA(SPLIT(TRIM(A609), "" "")))) &amp; ""@zupee.in""
   ), 
"&amp;"   """")"),"")</f>
        <v/>
      </c>
      <c r="C609" s="10"/>
    </row>
    <row r="610" ht="15.75" customHeight="1">
      <c r="A610" s="12"/>
      <c r="B610" s="9" t="str">
        <f>IFERROR(__xludf.DUMMYFUNCTION("IF(A610&lt;&gt;"""", 
   IF(COUNTA(SPLIT(TRIM(A610), "" ""))=1, 
      LOWER(TRIM(A610)) &amp; ""@zupee.in"", 
      LOWER(INDEX(SPLIT(TRIM(A610), "" ""), 1)) &amp; ""."" &amp; LOWER(INDEX(SPLIT(TRIM(A610), "" ""), COUNTA(SPLIT(TRIM(A610), "" "")))) &amp; ""@zupee.in""
   ), 
"&amp;"   """")"),"")</f>
        <v/>
      </c>
      <c r="C610" s="10"/>
    </row>
    <row r="611" ht="15.75" customHeight="1">
      <c r="A611" s="12"/>
      <c r="B611" s="9" t="str">
        <f>IFERROR(__xludf.DUMMYFUNCTION("IF(A611&lt;&gt;"""", 
   IF(COUNTA(SPLIT(TRIM(A611), "" ""))=1, 
      LOWER(TRIM(A611)) &amp; ""@zupee.in"", 
      LOWER(INDEX(SPLIT(TRIM(A611), "" ""), 1)) &amp; ""."" &amp; LOWER(INDEX(SPLIT(TRIM(A611), "" ""), COUNTA(SPLIT(TRIM(A611), "" "")))) &amp; ""@zupee.in""
   ), 
"&amp;"   """")"),"")</f>
        <v/>
      </c>
      <c r="C611" s="10"/>
    </row>
    <row r="612" ht="15.75" customHeight="1">
      <c r="A612" s="12"/>
      <c r="B612" s="9" t="str">
        <f>IFERROR(__xludf.DUMMYFUNCTION("IF(A612&lt;&gt;"""", 
   IF(COUNTA(SPLIT(TRIM(A612), "" ""))=1, 
      LOWER(TRIM(A612)) &amp; ""@zupee.in"", 
      LOWER(INDEX(SPLIT(TRIM(A612), "" ""), 1)) &amp; ""."" &amp; LOWER(INDEX(SPLIT(TRIM(A612), "" ""), COUNTA(SPLIT(TRIM(A612), "" "")))) &amp; ""@zupee.in""
   ), 
"&amp;"   """")"),"")</f>
        <v/>
      </c>
      <c r="C612" s="10"/>
    </row>
    <row r="613" ht="15.75" customHeight="1">
      <c r="A613" s="12"/>
      <c r="B613" s="9" t="str">
        <f>IFERROR(__xludf.DUMMYFUNCTION("IF(A613&lt;&gt;"""", 
   IF(COUNTA(SPLIT(TRIM(A613), "" ""))=1, 
      LOWER(TRIM(A613)) &amp; ""@zupee.in"", 
      LOWER(INDEX(SPLIT(TRIM(A613), "" ""), 1)) &amp; ""."" &amp; LOWER(INDEX(SPLIT(TRIM(A613), "" ""), COUNTA(SPLIT(TRIM(A613), "" "")))) &amp; ""@zupee.in""
   ), 
"&amp;"   """")"),"")</f>
        <v/>
      </c>
      <c r="C613" s="10"/>
    </row>
    <row r="614" ht="15.75" customHeight="1">
      <c r="A614" s="12"/>
      <c r="B614" s="9" t="str">
        <f>IFERROR(__xludf.DUMMYFUNCTION("IF(A614&lt;&gt;"""", 
   IF(COUNTA(SPLIT(TRIM(A614), "" ""))=1, 
      LOWER(TRIM(A614)) &amp; ""@zupee.in"", 
      LOWER(INDEX(SPLIT(TRIM(A614), "" ""), 1)) &amp; ""."" &amp; LOWER(INDEX(SPLIT(TRIM(A614), "" ""), COUNTA(SPLIT(TRIM(A614), "" "")))) &amp; ""@zupee.in""
   ), 
"&amp;"   """")"),"")</f>
        <v/>
      </c>
      <c r="C614" s="10"/>
    </row>
    <row r="615" ht="15.75" customHeight="1">
      <c r="A615" s="12"/>
      <c r="B615" s="9" t="str">
        <f>IFERROR(__xludf.DUMMYFUNCTION("IF(A615&lt;&gt;"""", 
   IF(COUNTA(SPLIT(TRIM(A615), "" ""))=1, 
      LOWER(TRIM(A615)) &amp; ""@zupee.in"", 
      LOWER(INDEX(SPLIT(TRIM(A615), "" ""), 1)) &amp; ""."" &amp; LOWER(INDEX(SPLIT(TRIM(A615), "" ""), COUNTA(SPLIT(TRIM(A615), "" "")))) &amp; ""@zupee.in""
   ), 
"&amp;"   """")"),"")</f>
        <v/>
      </c>
      <c r="C615" s="10"/>
    </row>
    <row r="616" ht="15.75" customHeight="1">
      <c r="A616" s="12"/>
      <c r="B616" s="9" t="str">
        <f>IFERROR(__xludf.DUMMYFUNCTION("IF(A616&lt;&gt;"""", 
   IF(COUNTA(SPLIT(TRIM(A616), "" ""))=1, 
      LOWER(TRIM(A616)) &amp; ""@zupee.in"", 
      LOWER(INDEX(SPLIT(TRIM(A616), "" ""), 1)) &amp; ""."" &amp; LOWER(INDEX(SPLIT(TRIM(A616), "" ""), COUNTA(SPLIT(TRIM(A616), "" "")))) &amp; ""@zupee.in""
   ), 
"&amp;"   """")"),"")</f>
        <v/>
      </c>
      <c r="C616" s="10"/>
    </row>
    <row r="617" ht="15.75" customHeight="1">
      <c r="A617" s="12"/>
      <c r="B617" s="9" t="str">
        <f>IFERROR(__xludf.DUMMYFUNCTION("IF(A617&lt;&gt;"""", 
   IF(COUNTA(SPLIT(TRIM(A617), "" ""))=1, 
      LOWER(TRIM(A617)) &amp; ""@zupee.in"", 
      LOWER(INDEX(SPLIT(TRIM(A617), "" ""), 1)) &amp; ""."" &amp; LOWER(INDEX(SPLIT(TRIM(A617), "" ""), COUNTA(SPLIT(TRIM(A617), "" "")))) &amp; ""@zupee.in""
   ), 
"&amp;"   """")"),"")</f>
        <v/>
      </c>
      <c r="C617" s="10"/>
    </row>
    <row r="618" ht="15.75" customHeight="1">
      <c r="A618" s="12"/>
      <c r="B618" s="9" t="str">
        <f>IFERROR(__xludf.DUMMYFUNCTION("IF(A618&lt;&gt;"""", 
   IF(COUNTA(SPLIT(TRIM(A618), "" ""))=1, 
      LOWER(TRIM(A618)) &amp; ""@zupee.in"", 
      LOWER(INDEX(SPLIT(TRIM(A618), "" ""), 1)) &amp; ""."" &amp; LOWER(INDEX(SPLIT(TRIM(A618), "" ""), COUNTA(SPLIT(TRIM(A618), "" "")))) &amp; ""@zupee.in""
   ), 
"&amp;"   """")"),"")</f>
        <v/>
      </c>
      <c r="C618" s="10"/>
    </row>
    <row r="619" ht="15.75" customHeight="1">
      <c r="A619" s="12"/>
      <c r="B619" s="9" t="str">
        <f>IFERROR(__xludf.DUMMYFUNCTION("IF(A619&lt;&gt;"""", 
   IF(COUNTA(SPLIT(TRIM(A619), "" ""))=1, 
      LOWER(TRIM(A619)) &amp; ""@zupee.in"", 
      LOWER(INDEX(SPLIT(TRIM(A619), "" ""), 1)) &amp; ""."" &amp; LOWER(INDEX(SPLIT(TRIM(A619), "" ""), COUNTA(SPLIT(TRIM(A619), "" "")))) &amp; ""@zupee.in""
   ), 
"&amp;"   """")"),"")</f>
        <v/>
      </c>
      <c r="C619" s="10"/>
    </row>
    <row r="620" ht="15.75" customHeight="1">
      <c r="A620" s="12"/>
      <c r="B620" s="9" t="str">
        <f>IFERROR(__xludf.DUMMYFUNCTION("IF(A620&lt;&gt;"""", 
   IF(COUNTA(SPLIT(TRIM(A620), "" ""))=1, 
      LOWER(TRIM(A620)) &amp; ""@zupee.in"", 
      LOWER(INDEX(SPLIT(TRIM(A620), "" ""), 1)) &amp; ""."" &amp; LOWER(INDEX(SPLIT(TRIM(A620), "" ""), COUNTA(SPLIT(TRIM(A620), "" "")))) &amp; ""@zupee.in""
   ), 
"&amp;"   """")"),"")</f>
        <v/>
      </c>
      <c r="C620" s="10"/>
    </row>
    <row r="621" ht="15.75" customHeight="1">
      <c r="A621" s="12"/>
      <c r="B621" s="9" t="str">
        <f>IFERROR(__xludf.DUMMYFUNCTION("IF(A621&lt;&gt;"""", 
   IF(COUNTA(SPLIT(TRIM(A621), "" ""))=1, 
      LOWER(TRIM(A621)) &amp; ""@zupee.in"", 
      LOWER(INDEX(SPLIT(TRIM(A621), "" ""), 1)) &amp; ""."" &amp; LOWER(INDEX(SPLIT(TRIM(A621), "" ""), COUNTA(SPLIT(TRIM(A621), "" "")))) &amp; ""@zupee.in""
   ), 
"&amp;"   """")"),"")</f>
        <v/>
      </c>
      <c r="C621" s="10"/>
    </row>
    <row r="622" ht="15.75" customHeight="1">
      <c r="A622" s="12"/>
      <c r="B622" s="9" t="str">
        <f>IFERROR(__xludf.DUMMYFUNCTION("IF(A622&lt;&gt;"""", 
   IF(COUNTA(SPLIT(TRIM(A622), "" ""))=1, 
      LOWER(TRIM(A622)) &amp; ""@zupee.in"", 
      LOWER(INDEX(SPLIT(TRIM(A622), "" ""), 1)) &amp; ""."" &amp; LOWER(INDEX(SPLIT(TRIM(A622), "" ""), COUNTA(SPLIT(TRIM(A622), "" "")))) &amp; ""@zupee.in""
   ), 
"&amp;"   """")"),"")</f>
        <v/>
      </c>
      <c r="C622" s="10"/>
    </row>
    <row r="623" ht="15.75" customHeight="1">
      <c r="A623" s="12"/>
      <c r="B623" s="9" t="str">
        <f>IFERROR(__xludf.DUMMYFUNCTION("IF(A623&lt;&gt;"""", 
   IF(COUNTA(SPLIT(TRIM(A623), "" ""))=1, 
      LOWER(TRIM(A623)) &amp; ""@zupee.in"", 
      LOWER(INDEX(SPLIT(TRIM(A623), "" ""), 1)) &amp; ""."" &amp; LOWER(INDEX(SPLIT(TRIM(A623), "" ""), COUNTA(SPLIT(TRIM(A623), "" "")))) &amp; ""@zupee.in""
   ), 
"&amp;"   """")"),"")</f>
        <v/>
      </c>
      <c r="C623" s="10"/>
    </row>
    <row r="624" ht="15.75" customHeight="1">
      <c r="A624" s="12"/>
      <c r="B624" s="9" t="str">
        <f>IFERROR(__xludf.DUMMYFUNCTION("IF(A624&lt;&gt;"""", 
   IF(COUNTA(SPLIT(TRIM(A624), "" ""))=1, 
      LOWER(TRIM(A624)) &amp; ""@zupee.in"", 
      LOWER(INDEX(SPLIT(TRIM(A624), "" ""), 1)) &amp; ""."" &amp; LOWER(INDEX(SPLIT(TRIM(A624), "" ""), COUNTA(SPLIT(TRIM(A624), "" "")))) &amp; ""@zupee.in""
   ), 
"&amp;"   """")"),"")</f>
        <v/>
      </c>
      <c r="C624" s="10"/>
    </row>
    <row r="625" ht="15.75" customHeight="1">
      <c r="A625" s="12"/>
      <c r="B625" s="9" t="str">
        <f>IFERROR(__xludf.DUMMYFUNCTION("IF(A625&lt;&gt;"""", 
   IF(COUNTA(SPLIT(TRIM(A625), "" ""))=1, 
      LOWER(TRIM(A625)) &amp; ""@zupee.in"", 
      LOWER(INDEX(SPLIT(TRIM(A625), "" ""), 1)) &amp; ""."" &amp; LOWER(INDEX(SPLIT(TRIM(A625), "" ""), COUNTA(SPLIT(TRIM(A625), "" "")))) &amp; ""@zupee.in""
   ), 
"&amp;"   """")"),"")</f>
        <v/>
      </c>
      <c r="C625" s="10"/>
    </row>
    <row r="626" ht="15.75" customHeight="1">
      <c r="A626" s="12"/>
      <c r="B626" s="9" t="str">
        <f>IFERROR(__xludf.DUMMYFUNCTION("IF(A626&lt;&gt;"""", 
   IF(COUNTA(SPLIT(TRIM(A626), "" ""))=1, 
      LOWER(TRIM(A626)) &amp; ""@zupee.in"", 
      LOWER(INDEX(SPLIT(TRIM(A626), "" ""), 1)) &amp; ""."" &amp; LOWER(INDEX(SPLIT(TRIM(A626), "" ""), COUNTA(SPLIT(TRIM(A626), "" "")))) &amp; ""@zupee.in""
   ), 
"&amp;"   """")"),"")</f>
        <v/>
      </c>
      <c r="C626" s="10"/>
    </row>
    <row r="627" ht="15.75" customHeight="1">
      <c r="A627" s="12"/>
      <c r="B627" s="9" t="str">
        <f>IFERROR(__xludf.DUMMYFUNCTION("IF(A627&lt;&gt;"""", 
   IF(COUNTA(SPLIT(TRIM(A627), "" ""))=1, 
      LOWER(TRIM(A627)) &amp; ""@zupee.in"", 
      LOWER(INDEX(SPLIT(TRIM(A627), "" ""), 1)) &amp; ""."" &amp; LOWER(INDEX(SPLIT(TRIM(A627), "" ""), COUNTA(SPLIT(TRIM(A627), "" "")))) &amp; ""@zupee.in""
   ), 
"&amp;"   """")"),"")</f>
        <v/>
      </c>
      <c r="C627" s="10"/>
    </row>
    <row r="628" ht="15.75" customHeight="1">
      <c r="A628" s="12"/>
      <c r="B628" s="9" t="str">
        <f>IFERROR(__xludf.DUMMYFUNCTION("IF(A628&lt;&gt;"""", 
   IF(COUNTA(SPLIT(TRIM(A628), "" ""))=1, 
      LOWER(TRIM(A628)) &amp; ""@zupee.in"", 
      LOWER(INDEX(SPLIT(TRIM(A628), "" ""), 1)) &amp; ""."" &amp; LOWER(INDEX(SPLIT(TRIM(A628), "" ""), COUNTA(SPLIT(TRIM(A628), "" "")))) &amp; ""@zupee.in""
   ), 
"&amp;"   """")"),"")</f>
        <v/>
      </c>
      <c r="C628" s="10"/>
    </row>
    <row r="629" ht="15.75" customHeight="1">
      <c r="A629" s="12"/>
      <c r="B629" s="9" t="str">
        <f>IFERROR(__xludf.DUMMYFUNCTION("IF(A629&lt;&gt;"""", 
   IF(COUNTA(SPLIT(TRIM(A629), "" ""))=1, 
      LOWER(TRIM(A629)) &amp; ""@zupee.in"", 
      LOWER(INDEX(SPLIT(TRIM(A629), "" ""), 1)) &amp; ""."" &amp; LOWER(INDEX(SPLIT(TRIM(A629), "" ""), COUNTA(SPLIT(TRIM(A629), "" "")))) &amp; ""@zupee.in""
   ), 
"&amp;"   """")"),"")</f>
        <v/>
      </c>
      <c r="C629" s="10"/>
    </row>
    <row r="630" ht="15.75" customHeight="1">
      <c r="A630" s="12"/>
      <c r="B630" s="9" t="str">
        <f>IFERROR(__xludf.DUMMYFUNCTION("IF(A630&lt;&gt;"""", 
   IF(COUNTA(SPLIT(TRIM(A630), "" ""))=1, 
      LOWER(TRIM(A630)) &amp; ""@zupee.in"", 
      LOWER(INDEX(SPLIT(TRIM(A630), "" ""), 1)) &amp; ""."" &amp; LOWER(INDEX(SPLIT(TRIM(A630), "" ""), COUNTA(SPLIT(TRIM(A630), "" "")))) &amp; ""@zupee.in""
   ), 
"&amp;"   """")"),"")</f>
        <v/>
      </c>
      <c r="C630" s="10"/>
    </row>
    <row r="631" ht="15.75" customHeight="1">
      <c r="A631" s="12"/>
      <c r="B631" s="9" t="str">
        <f>IFERROR(__xludf.DUMMYFUNCTION("IF(A631&lt;&gt;"""", 
   IF(COUNTA(SPLIT(TRIM(A631), "" ""))=1, 
      LOWER(TRIM(A631)) &amp; ""@zupee.in"", 
      LOWER(INDEX(SPLIT(TRIM(A631), "" ""), 1)) &amp; ""."" &amp; LOWER(INDEX(SPLIT(TRIM(A631), "" ""), COUNTA(SPLIT(TRIM(A631), "" "")))) &amp; ""@zupee.in""
   ), 
"&amp;"   """")"),"")</f>
        <v/>
      </c>
      <c r="C631" s="10"/>
    </row>
    <row r="632" ht="15.75" customHeight="1">
      <c r="A632" s="12"/>
      <c r="B632" s="9" t="str">
        <f>IFERROR(__xludf.DUMMYFUNCTION("IF(A632&lt;&gt;"""", 
   IF(COUNTA(SPLIT(TRIM(A632), "" ""))=1, 
      LOWER(TRIM(A632)) &amp; ""@zupee.in"", 
      LOWER(INDEX(SPLIT(TRIM(A632), "" ""), 1)) &amp; ""."" &amp; LOWER(INDEX(SPLIT(TRIM(A632), "" ""), COUNTA(SPLIT(TRIM(A632), "" "")))) &amp; ""@zupee.in""
   ), 
"&amp;"   """")"),"")</f>
        <v/>
      </c>
      <c r="C632" s="10"/>
    </row>
    <row r="633" ht="15.75" customHeight="1">
      <c r="A633" s="12"/>
      <c r="B633" s="9" t="str">
        <f>IFERROR(__xludf.DUMMYFUNCTION("IF(A633&lt;&gt;"""", 
   IF(COUNTA(SPLIT(TRIM(A633), "" ""))=1, 
      LOWER(TRIM(A633)) &amp; ""@zupee.in"", 
      LOWER(INDEX(SPLIT(TRIM(A633), "" ""), 1)) &amp; ""."" &amp; LOWER(INDEX(SPLIT(TRIM(A633), "" ""), COUNTA(SPLIT(TRIM(A633), "" "")))) &amp; ""@zupee.in""
   ), 
"&amp;"   """")"),"")</f>
        <v/>
      </c>
      <c r="C633" s="10"/>
    </row>
    <row r="634" ht="15.75" customHeight="1">
      <c r="A634" s="12"/>
      <c r="B634" s="9" t="str">
        <f>IFERROR(__xludf.DUMMYFUNCTION("IF(A634&lt;&gt;"""", 
   IF(COUNTA(SPLIT(TRIM(A634), "" ""))=1, 
      LOWER(TRIM(A634)) &amp; ""@zupee.in"", 
      LOWER(INDEX(SPLIT(TRIM(A634), "" ""), 1)) &amp; ""."" &amp; LOWER(INDEX(SPLIT(TRIM(A634), "" ""), COUNTA(SPLIT(TRIM(A634), "" "")))) &amp; ""@zupee.in""
   ), 
"&amp;"   """")"),"")</f>
        <v/>
      </c>
      <c r="C634" s="10"/>
    </row>
    <row r="635" ht="15.75" customHeight="1">
      <c r="A635" s="12"/>
      <c r="B635" s="9" t="str">
        <f>IFERROR(__xludf.DUMMYFUNCTION("IF(A635&lt;&gt;"""", 
   IF(COUNTA(SPLIT(TRIM(A635), "" ""))=1, 
      LOWER(TRIM(A635)) &amp; ""@zupee.in"", 
      LOWER(INDEX(SPLIT(TRIM(A635), "" ""), 1)) &amp; ""."" &amp; LOWER(INDEX(SPLIT(TRIM(A635), "" ""), COUNTA(SPLIT(TRIM(A635), "" "")))) &amp; ""@zupee.in""
   ), 
"&amp;"   """")"),"")</f>
        <v/>
      </c>
      <c r="C635" s="10"/>
    </row>
    <row r="636" ht="15.75" customHeight="1">
      <c r="A636" s="12"/>
      <c r="B636" s="9" t="str">
        <f>IFERROR(__xludf.DUMMYFUNCTION("IF(A636&lt;&gt;"""", 
   IF(COUNTA(SPLIT(TRIM(A636), "" ""))=1, 
      LOWER(TRIM(A636)) &amp; ""@zupee.in"", 
      LOWER(INDEX(SPLIT(TRIM(A636), "" ""), 1)) &amp; ""."" &amp; LOWER(INDEX(SPLIT(TRIM(A636), "" ""), COUNTA(SPLIT(TRIM(A636), "" "")))) &amp; ""@zupee.in""
   ), 
"&amp;"   """")"),"")</f>
        <v/>
      </c>
      <c r="C636" s="10"/>
    </row>
    <row r="637" ht="15.75" customHeight="1">
      <c r="A637" s="12"/>
      <c r="B637" s="9" t="str">
        <f>IFERROR(__xludf.DUMMYFUNCTION("IF(A637&lt;&gt;"""", 
   IF(COUNTA(SPLIT(TRIM(A637), "" ""))=1, 
      LOWER(TRIM(A637)) &amp; ""@zupee.in"", 
      LOWER(INDEX(SPLIT(TRIM(A637), "" ""), 1)) &amp; ""."" &amp; LOWER(INDEX(SPLIT(TRIM(A637), "" ""), COUNTA(SPLIT(TRIM(A637), "" "")))) &amp; ""@zupee.in""
   ), 
"&amp;"   """")"),"")</f>
        <v/>
      </c>
      <c r="C637" s="10"/>
    </row>
    <row r="638" ht="15.75" customHeight="1">
      <c r="A638" s="12"/>
      <c r="B638" s="9" t="str">
        <f>IFERROR(__xludf.DUMMYFUNCTION("IF(A638&lt;&gt;"""", 
   IF(COUNTA(SPLIT(TRIM(A638), "" ""))=1, 
      LOWER(TRIM(A638)) &amp; ""@zupee.in"", 
      LOWER(INDEX(SPLIT(TRIM(A638), "" ""), 1)) &amp; ""."" &amp; LOWER(INDEX(SPLIT(TRIM(A638), "" ""), COUNTA(SPLIT(TRIM(A638), "" "")))) &amp; ""@zupee.in""
   ), 
"&amp;"   """")"),"")</f>
        <v/>
      </c>
      <c r="C638" s="10"/>
    </row>
    <row r="639" ht="15.75" customHeight="1">
      <c r="A639" s="12"/>
      <c r="B639" s="9" t="str">
        <f>IFERROR(__xludf.DUMMYFUNCTION("IF(A639&lt;&gt;"""", 
   IF(COUNTA(SPLIT(TRIM(A639), "" ""))=1, 
      LOWER(TRIM(A639)) &amp; ""@zupee.in"", 
      LOWER(INDEX(SPLIT(TRIM(A639), "" ""), 1)) &amp; ""."" &amp; LOWER(INDEX(SPLIT(TRIM(A639), "" ""), COUNTA(SPLIT(TRIM(A639), "" "")))) &amp; ""@zupee.in""
   ), 
"&amp;"   """")"),"")</f>
        <v/>
      </c>
      <c r="C639" s="10"/>
    </row>
    <row r="640" ht="15.75" customHeight="1">
      <c r="A640" s="12"/>
      <c r="B640" s="9" t="str">
        <f>IFERROR(__xludf.DUMMYFUNCTION("IF(A640&lt;&gt;"""", 
   IF(COUNTA(SPLIT(TRIM(A640), "" ""))=1, 
      LOWER(TRIM(A640)) &amp; ""@zupee.in"", 
      LOWER(INDEX(SPLIT(TRIM(A640), "" ""), 1)) &amp; ""."" &amp; LOWER(INDEX(SPLIT(TRIM(A640), "" ""), COUNTA(SPLIT(TRIM(A640), "" "")))) &amp; ""@zupee.in""
   ), 
"&amp;"   """")"),"")</f>
        <v/>
      </c>
      <c r="C640" s="10"/>
    </row>
    <row r="641" ht="15.75" customHeight="1">
      <c r="A641" s="12"/>
      <c r="B641" s="9" t="str">
        <f>IFERROR(__xludf.DUMMYFUNCTION("IF(A641&lt;&gt;"""", 
   IF(COUNTA(SPLIT(TRIM(A641), "" ""))=1, 
      LOWER(TRIM(A641)) &amp; ""@zupee.in"", 
      LOWER(INDEX(SPLIT(TRIM(A641), "" ""), 1)) &amp; ""."" &amp; LOWER(INDEX(SPLIT(TRIM(A641), "" ""), COUNTA(SPLIT(TRIM(A641), "" "")))) &amp; ""@zupee.in""
   ), 
"&amp;"   """")"),"")</f>
        <v/>
      </c>
      <c r="C641" s="10"/>
    </row>
    <row r="642" ht="15.75" customHeight="1">
      <c r="A642" s="12"/>
      <c r="B642" s="9" t="str">
        <f>IFERROR(__xludf.DUMMYFUNCTION("IF(A642&lt;&gt;"""", 
   IF(COUNTA(SPLIT(TRIM(A642), "" ""))=1, 
      LOWER(TRIM(A642)) &amp; ""@zupee.in"", 
      LOWER(INDEX(SPLIT(TRIM(A642), "" ""), 1)) &amp; ""."" &amp; LOWER(INDEX(SPLIT(TRIM(A642), "" ""), COUNTA(SPLIT(TRIM(A642), "" "")))) &amp; ""@zupee.in""
   ), 
"&amp;"   """")"),"")</f>
        <v/>
      </c>
      <c r="C642" s="10"/>
    </row>
    <row r="643" ht="15.75" customHeight="1">
      <c r="A643" s="12"/>
      <c r="B643" s="9" t="str">
        <f>IFERROR(__xludf.DUMMYFUNCTION("IF(A643&lt;&gt;"""", 
   IF(COUNTA(SPLIT(TRIM(A643), "" ""))=1, 
      LOWER(TRIM(A643)) &amp; ""@zupee.in"", 
      LOWER(INDEX(SPLIT(TRIM(A643), "" ""), 1)) &amp; ""."" &amp; LOWER(INDEX(SPLIT(TRIM(A643), "" ""), COUNTA(SPLIT(TRIM(A643), "" "")))) &amp; ""@zupee.in""
   ), 
"&amp;"   """")"),"")</f>
        <v/>
      </c>
      <c r="C643" s="10"/>
    </row>
    <row r="644" ht="15.75" customHeight="1">
      <c r="A644" s="12"/>
      <c r="B644" s="9" t="str">
        <f>IFERROR(__xludf.DUMMYFUNCTION("IF(A644&lt;&gt;"""", 
   IF(COUNTA(SPLIT(TRIM(A644), "" ""))=1, 
      LOWER(TRIM(A644)) &amp; ""@zupee.in"", 
      LOWER(INDEX(SPLIT(TRIM(A644), "" ""), 1)) &amp; ""."" &amp; LOWER(INDEX(SPLIT(TRIM(A644), "" ""), COUNTA(SPLIT(TRIM(A644), "" "")))) &amp; ""@zupee.in""
   ), 
"&amp;"   """")"),"")</f>
        <v/>
      </c>
      <c r="C644" s="10"/>
    </row>
    <row r="645" ht="15.75" customHeight="1">
      <c r="A645" s="12"/>
      <c r="B645" s="9" t="str">
        <f>IFERROR(__xludf.DUMMYFUNCTION("IF(A645&lt;&gt;"""", 
   IF(COUNTA(SPLIT(TRIM(A645), "" ""))=1, 
      LOWER(TRIM(A645)) &amp; ""@zupee.in"", 
      LOWER(INDEX(SPLIT(TRIM(A645), "" ""), 1)) &amp; ""."" &amp; LOWER(INDEX(SPLIT(TRIM(A645), "" ""), COUNTA(SPLIT(TRIM(A645), "" "")))) &amp; ""@zupee.in""
   ), 
"&amp;"   """")"),"")</f>
        <v/>
      </c>
      <c r="C645" s="10"/>
    </row>
    <row r="646" ht="15.75" customHeight="1">
      <c r="A646" s="12"/>
      <c r="B646" s="9" t="str">
        <f>IFERROR(__xludf.DUMMYFUNCTION("IF(A646&lt;&gt;"""", 
   IF(COUNTA(SPLIT(TRIM(A646), "" ""))=1, 
      LOWER(TRIM(A646)) &amp; ""@zupee.in"", 
      LOWER(INDEX(SPLIT(TRIM(A646), "" ""), 1)) &amp; ""."" &amp; LOWER(INDEX(SPLIT(TRIM(A646), "" ""), COUNTA(SPLIT(TRIM(A646), "" "")))) &amp; ""@zupee.in""
   ), 
"&amp;"   """")"),"")</f>
        <v/>
      </c>
      <c r="C646" s="10"/>
    </row>
    <row r="647" ht="15.75" customHeight="1">
      <c r="A647" s="12"/>
      <c r="B647" s="9" t="str">
        <f>IFERROR(__xludf.DUMMYFUNCTION("IF(A647&lt;&gt;"""", 
   IF(COUNTA(SPLIT(TRIM(A647), "" ""))=1, 
      LOWER(TRIM(A647)) &amp; ""@zupee.in"", 
      LOWER(INDEX(SPLIT(TRIM(A647), "" ""), 1)) &amp; ""."" &amp; LOWER(INDEX(SPLIT(TRIM(A647), "" ""), COUNTA(SPLIT(TRIM(A647), "" "")))) &amp; ""@zupee.in""
   ), 
"&amp;"   """")"),"")</f>
        <v/>
      </c>
      <c r="C647" s="10"/>
    </row>
    <row r="648" ht="15.75" customHeight="1">
      <c r="A648" s="12"/>
      <c r="B648" s="9" t="str">
        <f>IFERROR(__xludf.DUMMYFUNCTION("IF(A648&lt;&gt;"""", 
   IF(COUNTA(SPLIT(TRIM(A648), "" ""))=1, 
      LOWER(TRIM(A648)) &amp; ""@zupee.in"", 
      LOWER(INDEX(SPLIT(TRIM(A648), "" ""), 1)) &amp; ""."" &amp; LOWER(INDEX(SPLIT(TRIM(A648), "" ""), COUNTA(SPLIT(TRIM(A648), "" "")))) &amp; ""@zupee.in""
   ), 
"&amp;"   """")"),"")</f>
        <v/>
      </c>
      <c r="C648" s="10"/>
    </row>
    <row r="649" ht="15.75" customHeight="1">
      <c r="A649" s="12"/>
      <c r="B649" s="9" t="str">
        <f>IFERROR(__xludf.DUMMYFUNCTION("IF(A649&lt;&gt;"""", 
   IF(COUNTA(SPLIT(TRIM(A649), "" ""))=1, 
      LOWER(TRIM(A649)) &amp; ""@zupee.in"", 
      LOWER(INDEX(SPLIT(TRIM(A649), "" ""), 1)) &amp; ""."" &amp; LOWER(INDEX(SPLIT(TRIM(A649), "" ""), COUNTA(SPLIT(TRIM(A649), "" "")))) &amp; ""@zupee.in""
   ), 
"&amp;"   """")"),"")</f>
        <v/>
      </c>
      <c r="C649" s="10"/>
    </row>
    <row r="650" ht="15.75" customHeight="1">
      <c r="A650" s="12"/>
      <c r="B650" s="9" t="str">
        <f>IFERROR(__xludf.DUMMYFUNCTION("IF(A650&lt;&gt;"""", 
   IF(COUNTA(SPLIT(TRIM(A650), "" ""))=1, 
      LOWER(TRIM(A650)) &amp; ""@zupee.in"", 
      LOWER(INDEX(SPLIT(TRIM(A650), "" ""), 1)) &amp; ""."" &amp; LOWER(INDEX(SPLIT(TRIM(A650), "" ""), COUNTA(SPLIT(TRIM(A650), "" "")))) &amp; ""@zupee.in""
   ), 
"&amp;"   """")"),"")</f>
        <v/>
      </c>
      <c r="C650" s="10"/>
    </row>
    <row r="651" ht="15.75" customHeight="1">
      <c r="A651" s="12"/>
      <c r="B651" s="9" t="str">
        <f>IFERROR(__xludf.DUMMYFUNCTION("IF(A651&lt;&gt;"""", 
   IF(COUNTA(SPLIT(TRIM(A651), "" ""))=1, 
      LOWER(TRIM(A651)) &amp; ""@zupee.in"", 
      LOWER(INDEX(SPLIT(TRIM(A651), "" ""), 1)) &amp; ""."" &amp; LOWER(INDEX(SPLIT(TRIM(A651), "" ""), COUNTA(SPLIT(TRIM(A651), "" "")))) &amp; ""@zupee.in""
   ), 
"&amp;"   """")"),"")</f>
        <v/>
      </c>
      <c r="C651" s="10"/>
    </row>
    <row r="652" ht="15.75" customHeight="1">
      <c r="A652" s="12"/>
      <c r="B652" s="9" t="str">
        <f>IFERROR(__xludf.DUMMYFUNCTION("IF(A652&lt;&gt;"""", 
   IF(COUNTA(SPLIT(TRIM(A652), "" ""))=1, 
      LOWER(TRIM(A652)) &amp; ""@zupee.in"", 
      LOWER(INDEX(SPLIT(TRIM(A652), "" ""), 1)) &amp; ""."" &amp; LOWER(INDEX(SPLIT(TRIM(A652), "" ""), COUNTA(SPLIT(TRIM(A652), "" "")))) &amp; ""@zupee.in""
   ), 
"&amp;"   """")"),"")</f>
        <v/>
      </c>
      <c r="C652" s="10"/>
    </row>
    <row r="653" ht="15.75" customHeight="1">
      <c r="A653" s="12"/>
      <c r="B653" s="9" t="str">
        <f>IFERROR(__xludf.DUMMYFUNCTION("IF(A653&lt;&gt;"""", 
   IF(COUNTA(SPLIT(TRIM(A653), "" ""))=1, 
      LOWER(TRIM(A653)) &amp; ""@zupee.in"", 
      LOWER(INDEX(SPLIT(TRIM(A653), "" ""), 1)) &amp; ""."" &amp; LOWER(INDEX(SPLIT(TRIM(A653), "" ""), COUNTA(SPLIT(TRIM(A653), "" "")))) &amp; ""@zupee.in""
   ), 
"&amp;"   """")"),"")</f>
        <v/>
      </c>
      <c r="C653" s="10"/>
    </row>
    <row r="654" ht="15.75" customHeight="1">
      <c r="A654" s="12"/>
      <c r="B654" s="9" t="str">
        <f>IFERROR(__xludf.DUMMYFUNCTION("IF(A654&lt;&gt;"""", 
   IF(COUNTA(SPLIT(TRIM(A654), "" ""))=1, 
      LOWER(TRIM(A654)) &amp; ""@zupee.in"", 
      LOWER(INDEX(SPLIT(TRIM(A654), "" ""), 1)) &amp; ""."" &amp; LOWER(INDEX(SPLIT(TRIM(A654), "" ""), COUNTA(SPLIT(TRIM(A654), "" "")))) &amp; ""@zupee.in""
   ), 
"&amp;"   """")"),"")</f>
        <v/>
      </c>
      <c r="C654" s="10"/>
    </row>
    <row r="655" ht="15.75" customHeight="1">
      <c r="A655" s="12"/>
      <c r="B655" s="9" t="str">
        <f>IFERROR(__xludf.DUMMYFUNCTION("IF(A655&lt;&gt;"""", 
   IF(COUNTA(SPLIT(TRIM(A655), "" ""))=1, 
      LOWER(TRIM(A655)) &amp; ""@zupee.in"", 
      LOWER(INDEX(SPLIT(TRIM(A655), "" ""), 1)) &amp; ""."" &amp; LOWER(INDEX(SPLIT(TRIM(A655), "" ""), COUNTA(SPLIT(TRIM(A655), "" "")))) &amp; ""@zupee.in""
   ), 
"&amp;"   """")"),"")</f>
        <v/>
      </c>
      <c r="C655" s="10"/>
    </row>
    <row r="656" ht="15.75" customHeight="1">
      <c r="A656" s="12"/>
      <c r="B656" s="9" t="str">
        <f>IFERROR(__xludf.DUMMYFUNCTION("IF(A656&lt;&gt;"""", 
   IF(COUNTA(SPLIT(TRIM(A656), "" ""))=1, 
      LOWER(TRIM(A656)) &amp; ""@zupee.in"", 
      LOWER(INDEX(SPLIT(TRIM(A656), "" ""), 1)) &amp; ""."" &amp; LOWER(INDEX(SPLIT(TRIM(A656), "" ""), COUNTA(SPLIT(TRIM(A656), "" "")))) &amp; ""@zupee.in""
   ), 
"&amp;"   """")"),"")</f>
        <v/>
      </c>
      <c r="C656" s="10"/>
    </row>
    <row r="657" ht="15.75" customHeight="1">
      <c r="A657" s="12"/>
      <c r="B657" s="9" t="str">
        <f>IFERROR(__xludf.DUMMYFUNCTION("IF(A657&lt;&gt;"""", 
   IF(COUNTA(SPLIT(TRIM(A657), "" ""))=1, 
      LOWER(TRIM(A657)) &amp; ""@zupee.in"", 
      LOWER(INDEX(SPLIT(TRIM(A657), "" ""), 1)) &amp; ""."" &amp; LOWER(INDEX(SPLIT(TRIM(A657), "" ""), COUNTA(SPLIT(TRIM(A657), "" "")))) &amp; ""@zupee.in""
   ), 
"&amp;"   """")"),"")</f>
        <v/>
      </c>
      <c r="C657" s="10"/>
    </row>
    <row r="658" ht="15.75" customHeight="1">
      <c r="A658" s="12"/>
      <c r="B658" s="9" t="str">
        <f>IFERROR(__xludf.DUMMYFUNCTION("IF(A658&lt;&gt;"""", 
   IF(COUNTA(SPLIT(TRIM(A658), "" ""))=1, 
      LOWER(TRIM(A658)) &amp; ""@zupee.in"", 
      LOWER(INDEX(SPLIT(TRIM(A658), "" ""), 1)) &amp; ""."" &amp; LOWER(INDEX(SPLIT(TRIM(A658), "" ""), COUNTA(SPLIT(TRIM(A658), "" "")))) &amp; ""@zupee.in""
   ), 
"&amp;"   """")"),"")</f>
        <v/>
      </c>
      <c r="C658" s="10"/>
    </row>
    <row r="659" ht="15.75" customHeight="1">
      <c r="A659" s="12"/>
      <c r="B659" s="9" t="str">
        <f>IFERROR(__xludf.DUMMYFUNCTION("IF(A659&lt;&gt;"""", 
   IF(COUNTA(SPLIT(TRIM(A659), "" ""))=1, 
      LOWER(TRIM(A659)) &amp; ""@zupee.in"", 
      LOWER(INDEX(SPLIT(TRIM(A659), "" ""), 1)) &amp; ""."" &amp; LOWER(INDEX(SPLIT(TRIM(A659), "" ""), COUNTA(SPLIT(TRIM(A659), "" "")))) &amp; ""@zupee.in""
   ), 
"&amp;"   """")"),"")</f>
        <v/>
      </c>
      <c r="C659" s="10"/>
    </row>
    <row r="660" ht="15.75" customHeight="1">
      <c r="A660" s="12"/>
      <c r="B660" s="9" t="str">
        <f>IFERROR(__xludf.DUMMYFUNCTION("IF(A660&lt;&gt;"""", 
   IF(COUNTA(SPLIT(TRIM(A660), "" ""))=1, 
      LOWER(TRIM(A660)) &amp; ""@zupee.in"", 
      LOWER(INDEX(SPLIT(TRIM(A660), "" ""), 1)) &amp; ""."" &amp; LOWER(INDEX(SPLIT(TRIM(A660), "" ""), COUNTA(SPLIT(TRIM(A660), "" "")))) &amp; ""@zupee.in""
   ), 
"&amp;"   """")"),"")</f>
        <v/>
      </c>
      <c r="C660" s="10"/>
    </row>
    <row r="661" ht="15.75" customHeight="1">
      <c r="A661" s="12"/>
      <c r="B661" s="9" t="str">
        <f>IFERROR(__xludf.DUMMYFUNCTION("IF(A661&lt;&gt;"""", 
   IF(COUNTA(SPLIT(TRIM(A661), "" ""))=1, 
      LOWER(TRIM(A661)) &amp; ""@zupee.in"", 
      LOWER(INDEX(SPLIT(TRIM(A661), "" ""), 1)) &amp; ""."" &amp; LOWER(INDEX(SPLIT(TRIM(A661), "" ""), COUNTA(SPLIT(TRIM(A661), "" "")))) &amp; ""@zupee.in""
   ), 
"&amp;"   """")"),"")</f>
        <v/>
      </c>
      <c r="C661" s="10"/>
    </row>
    <row r="662" ht="15.75" customHeight="1">
      <c r="A662" s="12"/>
      <c r="B662" s="9" t="str">
        <f>IFERROR(__xludf.DUMMYFUNCTION("IF(A662&lt;&gt;"""", 
   IF(COUNTA(SPLIT(TRIM(A662), "" ""))=1, 
      LOWER(TRIM(A662)) &amp; ""@zupee.in"", 
      LOWER(INDEX(SPLIT(TRIM(A662), "" ""), 1)) &amp; ""."" &amp; LOWER(INDEX(SPLIT(TRIM(A662), "" ""), COUNTA(SPLIT(TRIM(A662), "" "")))) &amp; ""@zupee.in""
   ), 
"&amp;"   """")"),"")</f>
        <v/>
      </c>
      <c r="C662" s="10"/>
    </row>
    <row r="663" ht="15.75" customHeight="1">
      <c r="A663" s="12"/>
      <c r="B663" s="9" t="str">
        <f>IFERROR(__xludf.DUMMYFUNCTION("IF(A663&lt;&gt;"""", 
   IF(COUNTA(SPLIT(TRIM(A663), "" ""))=1, 
      LOWER(TRIM(A663)) &amp; ""@zupee.in"", 
      LOWER(INDEX(SPLIT(TRIM(A663), "" ""), 1)) &amp; ""."" &amp; LOWER(INDEX(SPLIT(TRIM(A663), "" ""), COUNTA(SPLIT(TRIM(A663), "" "")))) &amp; ""@zupee.in""
   ), 
"&amp;"   """")"),"")</f>
        <v/>
      </c>
      <c r="C663" s="10"/>
    </row>
    <row r="664" ht="15.75" customHeight="1">
      <c r="A664" s="12"/>
      <c r="B664" s="9" t="str">
        <f>IFERROR(__xludf.DUMMYFUNCTION("IF(A664&lt;&gt;"""", 
   IF(COUNTA(SPLIT(TRIM(A664), "" ""))=1, 
      LOWER(TRIM(A664)) &amp; ""@zupee.in"", 
      LOWER(INDEX(SPLIT(TRIM(A664), "" ""), 1)) &amp; ""."" &amp; LOWER(INDEX(SPLIT(TRIM(A664), "" ""), COUNTA(SPLIT(TRIM(A664), "" "")))) &amp; ""@zupee.in""
   ), 
"&amp;"   """")"),"")</f>
        <v/>
      </c>
      <c r="C664" s="10"/>
    </row>
    <row r="665" ht="15.75" customHeight="1">
      <c r="A665" s="12"/>
      <c r="B665" s="9" t="str">
        <f>IFERROR(__xludf.DUMMYFUNCTION("IF(A665&lt;&gt;"""", 
   IF(COUNTA(SPLIT(TRIM(A665), "" ""))=1, 
      LOWER(TRIM(A665)) &amp; ""@zupee.in"", 
      LOWER(INDEX(SPLIT(TRIM(A665), "" ""), 1)) &amp; ""."" &amp; LOWER(INDEX(SPLIT(TRIM(A665), "" ""), COUNTA(SPLIT(TRIM(A665), "" "")))) &amp; ""@zupee.in""
   ), 
"&amp;"   """")"),"")</f>
        <v/>
      </c>
      <c r="C665" s="10"/>
    </row>
    <row r="666" ht="15.75" customHeight="1">
      <c r="A666" s="12"/>
      <c r="B666" s="9" t="str">
        <f>IFERROR(__xludf.DUMMYFUNCTION("IF(A666&lt;&gt;"""", 
   IF(COUNTA(SPLIT(TRIM(A666), "" ""))=1, 
      LOWER(TRIM(A666)) &amp; ""@zupee.in"", 
      LOWER(INDEX(SPLIT(TRIM(A666), "" ""), 1)) &amp; ""."" &amp; LOWER(INDEX(SPLIT(TRIM(A666), "" ""), COUNTA(SPLIT(TRIM(A666), "" "")))) &amp; ""@zupee.in""
   ), 
"&amp;"   """")"),"")</f>
        <v/>
      </c>
      <c r="C666" s="10"/>
    </row>
    <row r="667" ht="15.75" customHeight="1">
      <c r="A667" s="12"/>
      <c r="B667" s="9" t="str">
        <f>IFERROR(__xludf.DUMMYFUNCTION("IF(A667&lt;&gt;"""", 
   IF(COUNTA(SPLIT(TRIM(A667), "" ""))=1, 
      LOWER(TRIM(A667)) &amp; ""@zupee.in"", 
      LOWER(INDEX(SPLIT(TRIM(A667), "" ""), 1)) &amp; ""."" &amp; LOWER(INDEX(SPLIT(TRIM(A667), "" ""), COUNTA(SPLIT(TRIM(A667), "" "")))) &amp; ""@zupee.in""
   ), 
"&amp;"   """")"),"")</f>
        <v/>
      </c>
      <c r="C667" s="10"/>
    </row>
    <row r="668" ht="15.75" customHeight="1">
      <c r="A668" s="12"/>
      <c r="B668" s="9" t="str">
        <f>IFERROR(__xludf.DUMMYFUNCTION("IF(A668&lt;&gt;"""", 
   IF(COUNTA(SPLIT(TRIM(A668), "" ""))=1, 
      LOWER(TRIM(A668)) &amp; ""@zupee.in"", 
      LOWER(INDEX(SPLIT(TRIM(A668), "" ""), 1)) &amp; ""."" &amp; LOWER(INDEX(SPLIT(TRIM(A668), "" ""), COUNTA(SPLIT(TRIM(A668), "" "")))) &amp; ""@zupee.in""
   ), 
"&amp;"   """")"),"")</f>
        <v/>
      </c>
      <c r="C668" s="10"/>
    </row>
    <row r="669" ht="15.75" customHeight="1">
      <c r="A669" s="12"/>
      <c r="B669" s="9" t="str">
        <f>IFERROR(__xludf.DUMMYFUNCTION("IF(A669&lt;&gt;"""", 
   IF(COUNTA(SPLIT(TRIM(A669), "" ""))=1, 
      LOWER(TRIM(A669)) &amp; ""@zupee.in"", 
      LOWER(INDEX(SPLIT(TRIM(A669), "" ""), 1)) &amp; ""."" &amp; LOWER(INDEX(SPLIT(TRIM(A669), "" ""), COUNTA(SPLIT(TRIM(A669), "" "")))) &amp; ""@zupee.in""
   ), 
"&amp;"   """")"),"")</f>
        <v/>
      </c>
      <c r="C669" s="10"/>
    </row>
    <row r="670" ht="15.75" customHeight="1">
      <c r="A670" s="12"/>
      <c r="B670" s="9" t="str">
        <f>IFERROR(__xludf.DUMMYFUNCTION("IF(A670&lt;&gt;"""", 
   IF(COUNTA(SPLIT(TRIM(A670), "" ""))=1, 
      LOWER(TRIM(A670)) &amp; ""@zupee.in"", 
      LOWER(INDEX(SPLIT(TRIM(A670), "" ""), 1)) &amp; ""."" &amp; LOWER(INDEX(SPLIT(TRIM(A670), "" ""), COUNTA(SPLIT(TRIM(A670), "" "")))) &amp; ""@zupee.in""
   ), 
"&amp;"   """")"),"")</f>
        <v/>
      </c>
      <c r="C670" s="10"/>
    </row>
    <row r="671" ht="15.75" customHeight="1">
      <c r="A671" s="12"/>
      <c r="B671" s="9" t="str">
        <f>IFERROR(__xludf.DUMMYFUNCTION("IF(A671&lt;&gt;"""", 
   IF(COUNTA(SPLIT(TRIM(A671), "" ""))=1, 
      LOWER(TRIM(A671)) &amp; ""@zupee.in"", 
      LOWER(INDEX(SPLIT(TRIM(A671), "" ""), 1)) &amp; ""."" &amp; LOWER(INDEX(SPLIT(TRIM(A671), "" ""), COUNTA(SPLIT(TRIM(A671), "" "")))) &amp; ""@zupee.in""
   ), 
"&amp;"   """")"),"")</f>
        <v/>
      </c>
      <c r="C671" s="10"/>
    </row>
    <row r="672" ht="15.75" customHeight="1">
      <c r="A672" s="12"/>
      <c r="B672" s="9" t="str">
        <f>IFERROR(__xludf.DUMMYFUNCTION("IF(A672&lt;&gt;"""", 
   IF(COUNTA(SPLIT(TRIM(A672), "" ""))=1, 
      LOWER(TRIM(A672)) &amp; ""@zupee.in"", 
      LOWER(INDEX(SPLIT(TRIM(A672), "" ""), 1)) &amp; ""."" &amp; LOWER(INDEX(SPLIT(TRIM(A672), "" ""), COUNTA(SPLIT(TRIM(A672), "" "")))) &amp; ""@zupee.in""
   ), 
"&amp;"   """")"),"")</f>
        <v/>
      </c>
      <c r="C672" s="10"/>
    </row>
    <row r="673" ht="15.75" customHeight="1">
      <c r="A673" s="12"/>
      <c r="B673" s="9" t="str">
        <f>IFERROR(__xludf.DUMMYFUNCTION("IF(A673&lt;&gt;"""", 
   IF(COUNTA(SPLIT(TRIM(A673), "" ""))=1, 
      LOWER(TRIM(A673)) &amp; ""@zupee.in"", 
      LOWER(INDEX(SPLIT(TRIM(A673), "" ""), 1)) &amp; ""."" &amp; LOWER(INDEX(SPLIT(TRIM(A673), "" ""), COUNTA(SPLIT(TRIM(A673), "" "")))) &amp; ""@zupee.in""
   ), 
"&amp;"   """")"),"")</f>
        <v/>
      </c>
      <c r="C673" s="10"/>
    </row>
    <row r="674" ht="15.75" customHeight="1">
      <c r="A674" s="12"/>
      <c r="B674" s="9" t="str">
        <f>IFERROR(__xludf.DUMMYFUNCTION("IF(A674&lt;&gt;"""", 
   IF(COUNTA(SPLIT(TRIM(A674), "" ""))=1, 
      LOWER(TRIM(A674)) &amp; ""@zupee.in"", 
      LOWER(INDEX(SPLIT(TRIM(A674), "" ""), 1)) &amp; ""."" &amp; LOWER(INDEX(SPLIT(TRIM(A674), "" ""), COUNTA(SPLIT(TRIM(A674), "" "")))) &amp; ""@zupee.in""
   ), 
"&amp;"   """")"),"")</f>
        <v/>
      </c>
      <c r="C674" s="10"/>
    </row>
    <row r="675" ht="15.75" customHeight="1">
      <c r="A675" s="12"/>
      <c r="B675" s="9" t="str">
        <f>IFERROR(__xludf.DUMMYFUNCTION("IF(A675&lt;&gt;"""", 
   IF(COUNTA(SPLIT(TRIM(A675), "" ""))=1, 
      LOWER(TRIM(A675)) &amp; ""@zupee.in"", 
      LOWER(INDEX(SPLIT(TRIM(A675), "" ""), 1)) &amp; ""."" &amp; LOWER(INDEX(SPLIT(TRIM(A675), "" ""), COUNTA(SPLIT(TRIM(A675), "" "")))) &amp; ""@zupee.in""
   ), 
"&amp;"   """")"),"")</f>
        <v/>
      </c>
      <c r="C675" s="10"/>
    </row>
    <row r="676" ht="15.75" customHeight="1">
      <c r="A676" s="12"/>
      <c r="B676" s="9" t="str">
        <f>IFERROR(__xludf.DUMMYFUNCTION("IF(A676&lt;&gt;"""", 
   IF(COUNTA(SPLIT(TRIM(A676), "" ""))=1, 
      LOWER(TRIM(A676)) &amp; ""@zupee.in"", 
      LOWER(INDEX(SPLIT(TRIM(A676), "" ""), 1)) &amp; ""."" &amp; LOWER(INDEX(SPLIT(TRIM(A676), "" ""), COUNTA(SPLIT(TRIM(A676), "" "")))) &amp; ""@zupee.in""
   ), 
"&amp;"   """")"),"")</f>
        <v/>
      </c>
      <c r="C676" s="10"/>
    </row>
    <row r="677" ht="15.75" customHeight="1">
      <c r="A677" s="12"/>
      <c r="B677" s="9" t="str">
        <f>IFERROR(__xludf.DUMMYFUNCTION("IF(A677&lt;&gt;"""", 
   IF(COUNTA(SPLIT(TRIM(A677), "" ""))=1, 
      LOWER(TRIM(A677)) &amp; ""@zupee.in"", 
      LOWER(INDEX(SPLIT(TRIM(A677), "" ""), 1)) &amp; ""."" &amp; LOWER(INDEX(SPLIT(TRIM(A677), "" ""), COUNTA(SPLIT(TRIM(A677), "" "")))) &amp; ""@zupee.in""
   ), 
"&amp;"   """")"),"")</f>
        <v/>
      </c>
      <c r="C677" s="10"/>
    </row>
    <row r="678" ht="15.75" customHeight="1">
      <c r="A678" s="12"/>
      <c r="B678" s="9" t="str">
        <f>IFERROR(__xludf.DUMMYFUNCTION("IF(A678&lt;&gt;"""", 
   IF(COUNTA(SPLIT(TRIM(A678), "" ""))=1, 
      LOWER(TRIM(A678)) &amp; ""@zupee.in"", 
      LOWER(INDEX(SPLIT(TRIM(A678), "" ""), 1)) &amp; ""."" &amp; LOWER(INDEX(SPLIT(TRIM(A678), "" ""), COUNTA(SPLIT(TRIM(A678), "" "")))) &amp; ""@zupee.in""
   ), 
"&amp;"   """")"),"")</f>
        <v/>
      </c>
      <c r="C678" s="10"/>
    </row>
    <row r="679" ht="15.75" customHeight="1">
      <c r="A679" s="12"/>
      <c r="B679" s="9" t="str">
        <f>IFERROR(__xludf.DUMMYFUNCTION("IF(A679&lt;&gt;"""", 
   IF(COUNTA(SPLIT(TRIM(A679), "" ""))=1, 
      LOWER(TRIM(A679)) &amp; ""@zupee.in"", 
      LOWER(INDEX(SPLIT(TRIM(A679), "" ""), 1)) &amp; ""."" &amp; LOWER(INDEX(SPLIT(TRIM(A679), "" ""), COUNTA(SPLIT(TRIM(A679), "" "")))) &amp; ""@zupee.in""
   ), 
"&amp;"   """")"),"")</f>
        <v/>
      </c>
      <c r="C679" s="10"/>
    </row>
    <row r="680" ht="15.75" customHeight="1">
      <c r="A680" s="12"/>
      <c r="B680" s="9" t="str">
        <f>IFERROR(__xludf.DUMMYFUNCTION("IF(A680&lt;&gt;"""", 
   IF(COUNTA(SPLIT(TRIM(A680), "" ""))=1, 
      LOWER(TRIM(A680)) &amp; ""@zupee.in"", 
      LOWER(INDEX(SPLIT(TRIM(A680), "" ""), 1)) &amp; ""."" &amp; LOWER(INDEX(SPLIT(TRIM(A680), "" ""), COUNTA(SPLIT(TRIM(A680), "" "")))) &amp; ""@zupee.in""
   ), 
"&amp;"   """")"),"")</f>
        <v/>
      </c>
      <c r="C680" s="10"/>
    </row>
    <row r="681" ht="15.75" customHeight="1">
      <c r="A681" s="12"/>
      <c r="B681" s="9" t="str">
        <f>IFERROR(__xludf.DUMMYFUNCTION("IF(A681&lt;&gt;"""", 
   IF(COUNTA(SPLIT(TRIM(A681), "" ""))=1, 
      LOWER(TRIM(A681)) &amp; ""@zupee.in"", 
      LOWER(INDEX(SPLIT(TRIM(A681), "" ""), 1)) &amp; ""."" &amp; LOWER(INDEX(SPLIT(TRIM(A681), "" ""), COUNTA(SPLIT(TRIM(A681), "" "")))) &amp; ""@zupee.in""
   ), 
"&amp;"   """")"),"")</f>
        <v/>
      </c>
      <c r="C681" s="10"/>
    </row>
    <row r="682" ht="15.75" customHeight="1">
      <c r="A682" s="12"/>
      <c r="B682" s="9" t="str">
        <f>IFERROR(__xludf.DUMMYFUNCTION("IF(A682&lt;&gt;"""", 
   IF(COUNTA(SPLIT(TRIM(A682), "" ""))=1, 
      LOWER(TRIM(A682)) &amp; ""@zupee.in"", 
      LOWER(INDEX(SPLIT(TRIM(A682), "" ""), 1)) &amp; ""."" &amp; LOWER(INDEX(SPLIT(TRIM(A682), "" ""), COUNTA(SPLIT(TRIM(A682), "" "")))) &amp; ""@zupee.in""
   ), 
"&amp;"   """")"),"")</f>
        <v/>
      </c>
      <c r="C682" s="10"/>
    </row>
    <row r="683" ht="15.75" customHeight="1">
      <c r="A683" s="12"/>
      <c r="B683" s="9" t="str">
        <f>IFERROR(__xludf.DUMMYFUNCTION("IF(A683&lt;&gt;"""", 
   IF(COUNTA(SPLIT(TRIM(A683), "" ""))=1, 
      LOWER(TRIM(A683)) &amp; ""@zupee.in"", 
      LOWER(INDEX(SPLIT(TRIM(A683), "" ""), 1)) &amp; ""."" &amp; LOWER(INDEX(SPLIT(TRIM(A683), "" ""), COUNTA(SPLIT(TRIM(A683), "" "")))) &amp; ""@zupee.in""
   ), 
"&amp;"   """")"),"")</f>
        <v/>
      </c>
      <c r="C683" s="10"/>
    </row>
    <row r="684" ht="15.75" customHeight="1">
      <c r="A684" s="12"/>
      <c r="B684" s="9" t="str">
        <f>IFERROR(__xludf.DUMMYFUNCTION("IF(A684&lt;&gt;"""", 
   IF(COUNTA(SPLIT(TRIM(A684), "" ""))=1, 
      LOWER(TRIM(A684)) &amp; ""@zupee.in"", 
      LOWER(INDEX(SPLIT(TRIM(A684), "" ""), 1)) &amp; ""."" &amp; LOWER(INDEX(SPLIT(TRIM(A684), "" ""), COUNTA(SPLIT(TRIM(A684), "" "")))) &amp; ""@zupee.in""
   ), 
"&amp;"   """")"),"")</f>
        <v/>
      </c>
      <c r="C684" s="10"/>
    </row>
    <row r="685" ht="15.75" customHeight="1">
      <c r="A685" s="12"/>
      <c r="B685" s="9" t="str">
        <f>IFERROR(__xludf.DUMMYFUNCTION("IF(A685&lt;&gt;"""", 
   IF(COUNTA(SPLIT(TRIM(A685), "" ""))=1, 
      LOWER(TRIM(A685)) &amp; ""@zupee.in"", 
      LOWER(INDEX(SPLIT(TRIM(A685), "" ""), 1)) &amp; ""."" &amp; LOWER(INDEX(SPLIT(TRIM(A685), "" ""), COUNTA(SPLIT(TRIM(A685), "" "")))) &amp; ""@zupee.in""
   ), 
"&amp;"   """")"),"")</f>
        <v/>
      </c>
      <c r="C685" s="10"/>
    </row>
    <row r="686" ht="15.75" customHeight="1">
      <c r="A686" s="12"/>
      <c r="B686" s="9" t="str">
        <f>IFERROR(__xludf.DUMMYFUNCTION("IF(A686&lt;&gt;"""", 
   IF(COUNTA(SPLIT(TRIM(A686), "" ""))=1, 
      LOWER(TRIM(A686)) &amp; ""@zupee.in"", 
      LOWER(INDEX(SPLIT(TRIM(A686), "" ""), 1)) &amp; ""."" &amp; LOWER(INDEX(SPLIT(TRIM(A686), "" ""), COUNTA(SPLIT(TRIM(A686), "" "")))) &amp; ""@zupee.in""
   ), 
"&amp;"   """")"),"")</f>
        <v/>
      </c>
      <c r="C686" s="10"/>
    </row>
    <row r="687" ht="15.75" customHeight="1">
      <c r="A687" s="12"/>
      <c r="B687" s="9" t="str">
        <f>IFERROR(__xludf.DUMMYFUNCTION("IF(A687&lt;&gt;"""", 
   IF(COUNTA(SPLIT(TRIM(A687), "" ""))=1, 
      LOWER(TRIM(A687)) &amp; ""@zupee.in"", 
      LOWER(INDEX(SPLIT(TRIM(A687), "" ""), 1)) &amp; ""."" &amp; LOWER(INDEX(SPLIT(TRIM(A687), "" ""), COUNTA(SPLIT(TRIM(A687), "" "")))) &amp; ""@zupee.in""
   ), 
"&amp;"   """")"),"")</f>
        <v/>
      </c>
      <c r="C687" s="10"/>
    </row>
    <row r="688" ht="15.75" customHeight="1">
      <c r="A688" s="12"/>
      <c r="B688" s="9" t="str">
        <f>IFERROR(__xludf.DUMMYFUNCTION("IF(A688&lt;&gt;"""", 
   IF(COUNTA(SPLIT(TRIM(A688), "" ""))=1, 
      LOWER(TRIM(A688)) &amp; ""@zupee.in"", 
      LOWER(INDEX(SPLIT(TRIM(A688), "" ""), 1)) &amp; ""."" &amp; LOWER(INDEX(SPLIT(TRIM(A688), "" ""), COUNTA(SPLIT(TRIM(A688), "" "")))) &amp; ""@zupee.in""
   ), 
"&amp;"   """")"),"")</f>
        <v/>
      </c>
      <c r="C688" s="10"/>
    </row>
    <row r="689" ht="15.75" customHeight="1">
      <c r="A689" s="12"/>
      <c r="B689" s="9" t="str">
        <f>IFERROR(__xludf.DUMMYFUNCTION("IF(A689&lt;&gt;"""", 
   IF(COUNTA(SPLIT(TRIM(A689), "" ""))=1, 
      LOWER(TRIM(A689)) &amp; ""@zupee.in"", 
      LOWER(INDEX(SPLIT(TRIM(A689), "" ""), 1)) &amp; ""."" &amp; LOWER(INDEX(SPLIT(TRIM(A689), "" ""), COUNTA(SPLIT(TRIM(A689), "" "")))) &amp; ""@zupee.in""
   ), 
"&amp;"   """")"),"")</f>
        <v/>
      </c>
      <c r="C689" s="10"/>
    </row>
    <row r="690" ht="15.75" customHeight="1">
      <c r="A690" s="12"/>
      <c r="B690" s="9" t="str">
        <f>IFERROR(__xludf.DUMMYFUNCTION("IF(A690&lt;&gt;"""", 
   IF(COUNTA(SPLIT(TRIM(A690), "" ""))=1, 
      LOWER(TRIM(A690)) &amp; ""@zupee.in"", 
      LOWER(INDEX(SPLIT(TRIM(A690), "" ""), 1)) &amp; ""."" &amp; LOWER(INDEX(SPLIT(TRIM(A690), "" ""), COUNTA(SPLIT(TRIM(A690), "" "")))) &amp; ""@zupee.in""
   ), 
"&amp;"   """")"),"")</f>
        <v/>
      </c>
      <c r="C690" s="10"/>
    </row>
    <row r="691" ht="15.75" customHeight="1">
      <c r="A691" s="12"/>
      <c r="B691" s="9" t="str">
        <f>IFERROR(__xludf.DUMMYFUNCTION("IF(A691&lt;&gt;"""", 
   IF(COUNTA(SPLIT(TRIM(A691), "" ""))=1, 
      LOWER(TRIM(A691)) &amp; ""@zupee.in"", 
      LOWER(INDEX(SPLIT(TRIM(A691), "" ""), 1)) &amp; ""."" &amp; LOWER(INDEX(SPLIT(TRIM(A691), "" ""), COUNTA(SPLIT(TRIM(A691), "" "")))) &amp; ""@zupee.in""
   ), 
"&amp;"   """")"),"")</f>
        <v/>
      </c>
      <c r="C691" s="10"/>
    </row>
    <row r="692" ht="15.75" customHeight="1">
      <c r="A692" s="12"/>
      <c r="B692" s="9" t="str">
        <f>IFERROR(__xludf.DUMMYFUNCTION("IF(A692&lt;&gt;"""", 
   IF(COUNTA(SPLIT(TRIM(A692), "" ""))=1, 
      LOWER(TRIM(A692)) &amp; ""@zupee.in"", 
      LOWER(INDEX(SPLIT(TRIM(A692), "" ""), 1)) &amp; ""."" &amp; LOWER(INDEX(SPLIT(TRIM(A692), "" ""), COUNTA(SPLIT(TRIM(A692), "" "")))) &amp; ""@zupee.in""
   ), 
"&amp;"   """")"),"")</f>
        <v/>
      </c>
      <c r="C692" s="10"/>
    </row>
    <row r="693" ht="15.75" customHeight="1">
      <c r="A693" s="12"/>
      <c r="B693" s="9" t="str">
        <f>IFERROR(__xludf.DUMMYFUNCTION("IF(A693&lt;&gt;"""", 
   IF(COUNTA(SPLIT(TRIM(A693), "" ""))=1, 
      LOWER(TRIM(A693)) &amp; ""@zupee.in"", 
      LOWER(INDEX(SPLIT(TRIM(A693), "" ""), 1)) &amp; ""."" &amp; LOWER(INDEX(SPLIT(TRIM(A693), "" ""), COUNTA(SPLIT(TRIM(A693), "" "")))) &amp; ""@zupee.in""
   ), 
"&amp;"   """")"),"")</f>
        <v/>
      </c>
      <c r="C693" s="10"/>
    </row>
    <row r="694" ht="15.75" customHeight="1">
      <c r="A694" s="12"/>
      <c r="B694" s="9" t="str">
        <f>IFERROR(__xludf.DUMMYFUNCTION("IF(A694&lt;&gt;"""", 
   IF(COUNTA(SPLIT(TRIM(A694), "" ""))=1, 
      LOWER(TRIM(A694)) &amp; ""@zupee.in"", 
      LOWER(INDEX(SPLIT(TRIM(A694), "" ""), 1)) &amp; ""."" &amp; LOWER(INDEX(SPLIT(TRIM(A694), "" ""), COUNTA(SPLIT(TRIM(A694), "" "")))) &amp; ""@zupee.in""
   ), 
"&amp;"   """")"),"")</f>
        <v/>
      </c>
      <c r="C694" s="10"/>
    </row>
    <row r="695" ht="15.75" customHeight="1">
      <c r="A695" s="12"/>
      <c r="B695" s="9" t="str">
        <f>IFERROR(__xludf.DUMMYFUNCTION("IF(A695&lt;&gt;"""", 
   IF(COUNTA(SPLIT(TRIM(A695), "" ""))=1, 
      LOWER(TRIM(A695)) &amp; ""@zupee.in"", 
      LOWER(INDEX(SPLIT(TRIM(A695), "" ""), 1)) &amp; ""."" &amp; LOWER(INDEX(SPLIT(TRIM(A695), "" ""), COUNTA(SPLIT(TRIM(A695), "" "")))) &amp; ""@zupee.in""
   ), 
"&amp;"   """")"),"")</f>
        <v/>
      </c>
      <c r="C695" s="10"/>
    </row>
    <row r="696" ht="15.75" customHeight="1">
      <c r="A696" s="12"/>
      <c r="B696" s="9" t="str">
        <f>IFERROR(__xludf.DUMMYFUNCTION("IF(A696&lt;&gt;"""", 
   IF(COUNTA(SPLIT(TRIM(A696), "" ""))=1, 
      LOWER(TRIM(A696)) &amp; ""@zupee.in"", 
      LOWER(INDEX(SPLIT(TRIM(A696), "" ""), 1)) &amp; ""."" &amp; LOWER(INDEX(SPLIT(TRIM(A696), "" ""), COUNTA(SPLIT(TRIM(A696), "" "")))) &amp; ""@zupee.in""
   ), 
"&amp;"   """")"),"")</f>
        <v/>
      </c>
      <c r="C696" s="10"/>
    </row>
    <row r="697" ht="15.75" customHeight="1">
      <c r="A697" s="12"/>
      <c r="B697" s="9" t="str">
        <f>IFERROR(__xludf.DUMMYFUNCTION("IF(A697&lt;&gt;"""", 
   IF(COUNTA(SPLIT(TRIM(A697), "" ""))=1, 
      LOWER(TRIM(A697)) &amp; ""@zupee.in"", 
      LOWER(INDEX(SPLIT(TRIM(A697), "" ""), 1)) &amp; ""."" &amp; LOWER(INDEX(SPLIT(TRIM(A697), "" ""), COUNTA(SPLIT(TRIM(A697), "" "")))) &amp; ""@zupee.in""
   ), 
"&amp;"   """")"),"")</f>
        <v/>
      </c>
      <c r="C697" s="10"/>
    </row>
    <row r="698" ht="15.75" customHeight="1">
      <c r="A698" s="12"/>
      <c r="B698" s="9" t="str">
        <f>IFERROR(__xludf.DUMMYFUNCTION("IF(A698&lt;&gt;"""", 
   IF(COUNTA(SPLIT(TRIM(A698), "" ""))=1, 
      LOWER(TRIM(A698)) &amp; ""@zupee.in"", 
      LOWER(INDEX(SPLIT(TRIM(A698), "" ""), 1)) &amp; ""."" &amp; LOWER(INDEX(SPLIT(TRIM(A698), "" ""), COUNTA(SPLIT(TRIM(A698), "" "")))) &amp; ""@zupee.in""
   ), 
"&amp;"   """")"),"")</f>
        <v/>
      </c>
      <c r="C698" s="10"/>
    </row>
    <row r="699" ht="15.75" customHeight="1">
      <c r="A699" s="12"/>
      <c r="B699" s="9" t="str">
        <f>IFERROR(__xludf.DUMMYFUNCTION("IF(A699&lt;&gt;"""", 
   IF(COUNTA(SPLIT(TRIM(A699), "" ""))=1, 
      LOWER(TRIM(A699)) &amp; ""@zupee.in"", 
      LOWER(INDEX(SPLIT(TRIM(A699), "" ""), 1)) &amp; ""."" &amp; LOWER(INDEX(SPLIT(TRIM(A699), "" ""), COUNTA(SPLIT(TRIM(A699), "" "")))) &amp; ""@zupee.in""
   ), 
"&amp;"   """")"),"")</f>
        <v/>
      </c>
      <c r="C699" s="10"/>
    </row>
    <row r="700" ht="15.75" customHeight="1">
      <c r="A700" s="12"/>
      <c r="B700" s="9" t="str">
        <f>IFERROR(__xludf.DUMMYFUNCTION("IF(A700&lt;&gt;"""", 
   IF(COUNTA(SPLIT(TRIM(A700), "" ""))=1, 
      LOWER(TRIM(A700)) &amp; ""@zupee.in"", 
      LOWER(INDEX(SPLIT(TRIM(A700), "" ""), 1)) &amp; ""."" &amp; LOWER(INDEX(SPLIT(TRIM(A700), "" ""), COUNTA(SPLIT(TRIM(A700), "" "")))) &amp; ""@zupee.in""
   ), 
"&amp;"   """")"),"")</f>
        <v/>
      </c>
      <c r="C700" s="10"/>
    </row>
    <row r="701" ht="15.75" customHeight="1">
      <c r="A701" s="12"/>
      <c r="B701" s="9" t="str">
        <f>IFERROR(__xludf.DUMMYFUNCTION("IF(A701&lt;&gt;"""", 
   IF(COUNTA(SPLIT(TRIM(A701), "" ""))=1, 
      LOWER(TRIM(A701)) &amp; ""@zupee.in"", 
      LOWER(INDEX(SPLIT(TRIM(A701), "" ""), 1)) &amp; ""."" &amp; LOWER(INDEX(SPLIT(TRIM(A701), "" ""), COUNTA(SPLIT(TRIM(A701), "" "")))) &amp; ""@zupee.in""
   ), 
"&amp;"   """")"),"")</f>
        <v/>
      </c>
      <c r="C701" s="10"/>
    </row>
    <row r="702" ht="15.75" customHeight="1">
      <c r="A702" s="12"/>
      <c r="B702" s="9" t="str">
        <f>IFERROR(__xludf.DUMMYFUNCTION("IF(A702&lt;&gt;"""", 
   IF(COUNTA(SPLIT(TRIM(A702), "" ""))=1, 
      LOWER(TRIM(A702)) &amp; ""@zupee.in"", 
      LOWER(INDEX(SPLIT(TRIM(A702), "" ""), 1)) &amp; ""."" &amp; LOWER(INDEX(SPLIT(TRIM(A702), "" ""), COUNTA(SPLIT(TRIM(A702), "" "")))) &amp; ""@zupee.in""
   ), 
"&amp;"   """")"),"")</f>
        <v/>
      </c>
      <c r="C702" s="10"/>
    </row>
    <row r="703" ht="15.75" customHeight="1">
      <c r="A703" s="12"/>
      <c r="B703" s="9" t="str">
        <f>IFERROR(__xludf.DUMMYFUNCTION("IF(A703&lt;&gt;"""", 
   IF(COUNTA(SPLIT(TRIM(A703), "" ""))=1, 
      LOWER(TRIM(A703)) &amp; ""@zupee.in"", 
      LOWER(INDEX(SPLIT(TRIM(A703), "" ""), 1)) &amp; ""."" &amp; LOWER(INDEX(SPLIT(TRIM(A703), "" ""), COUNTA(SPLIT(TRIM(A703), "" "")))) &amp; ""@zupee.in""
   ), 
"&amp;"   """")"),"")</f>
        <v/>
      </c>
      <c r="C703" s="10"/>
    </row>
    <row r="704" ht="15.75" customHeight="1">
      <c r="A704" s="12"/>
      <c r="B704" s="9" t="str">
        <f>IFERROR(__xludf.DUMMYFUNCTION("IF(A704&lt;&gt;"""", 
   IF(COUNTA(SPLIT(TRIM(A704), "" ""))=1, 
      LOWER(TRIM(A704)) &amp; ""@zupee.in"", 
      LOWER(INDEX(SPLIT(TRIM(A704), "" ""), 1)) &amp; ""."" &amp; LOWER(INDEX(SPLIT(TRIM(A704), "" ""), COUNTA(SPLIT(TRIM(A704), "" "")))) &amp; ""@zupee.in""
   ), 
"&amp;"   """")"),"")</f>
        <v/>
      </c>
      <c r="C704" s="10"/>
    </row>
    <row r="705" ht="15.75" customHeight="1">
      <c r="A705" s="12"/>
      <c r="B705" s="9" t="str">
        <f>IFERROR(__xludf.DUMMYFUNCTION("IF(A705&lt;&gt;"""", 
   IF(COUNTA(SPLIT(TRIM(A705), "" ""))=1, 
      LOWER(TRIM(A705)) &amp; ""@zupee.in"", 
      LOWER(INDEX(SPLIT(TRIM(A705), "" ""), 1)) &amp; ""."" &amp; LOWER(INDEX(SPLIT(TRIM(A705), "" ""), COUNTA(SPLIT(TRIM(A705), "" "")))) &amp; ""@zupee.in""
   ), 
"&amp;"   """")"),"")</f>
        <v/>
      </c>
      <c r="C705" s="10"/>
    </row>
    <row r="706" ht="15.75" customHeight="1">
      <c r="A706" s="12"/>
      <c r="B706" s="9" t="str">
        <f>IFERROR(__xludf.DUMMYFUNCTION("IF(A706&lt;&gt;"""", 
   IF(COUNTA(SPLIT(TRIM(A706), "" ""))=1, 
      LOWER(TRIM(A706)) &amp; ""@zupee.in"", 
      LOWER(INDEX(SPLIT(TRIM(A706), "" ""), 1)) &amp; ""."" &amp; LOWER(INDEX(SPLIT(TRIM(A706), "" ""), COUNTA(SPLIT(TRIM(A706), "" "")))) &amp; ""@zupee.in""
   ), 
"&amp;"   """")"),"")</f>
        <v/>
      </c>
      <c r="C706" s="10"/>
    </row>
    <row r="707" ht="15.75" customHeight="1">
      <c r="A707" s="12"/>
      <c r="B707" s="9" t="str">
        <f>IFERROR(__xludf.DUMMYFUNCTION("IF(A707&lt;&gt;"""", 
   IF(COUNTA(SPLIT(TRIM(A707), "" ""))=1, 
      LOWER(TRIM(A707)) &amp; ""@zupee.in"", 
      LOWER(INDEX(SPLIT(TRIM(A707), "" ""), 1)) &amp; ""."" &amp; LOWER(INDEX(SPLIT(TRIM(A707), "" ""), COUNTA(SPLIT(TRIM(A707), "" "")))) &amp; ""@zupee.in""
   ), 
"&amp;"   """")"),"")</f>
        <v/>
      </c>
      <c r="C707" s="10"/>
    </row>
    <row r="708" ht="15.75" customHeight="1">
      <c r="A708" s="12"/>
      <c r="B708" s="9" t="str">
        <f>IFERROR(__xludf.DUMMYFUNCTION("IF(A708&lt;&gt;"""", 
   IF(COUNTA(SPLIT(TRIM(A708), "" ""))=1, 
      LOWER(TRIM(A708)) &amp; ""@zupee.in"", 
      LOWER(INDEX(SPLIT(TRIM(A708), "" ""), 1)) &amp; ""."" &amp; LOWER(INDEX(SPLIT(TRIM(A708), "" ""), COUNTA(SPLIT(TRIM(A708), "" "")))) &amp; ""@zupee.in""
   ), 
"&amp;"   """")"),"")</f>
        <v/>
      </c>
      <c r="C708" s="10"/>
    </row>
    <row r="709" ht="15.75" customHeight="1">
      <c r="A709" s="12"/>
      <c r="B709" s="9" t="str">
        <f>IFERROR(__xludf.DUMMYFUNCTION("IF(A709&lt;&gt;"""", 
   IF(COUNTA(SPLIT(TRIM(A709), "" ""))=1, 
      LOWER(TRIM(A709)) &amp; ""@zupee.in"", 
      LOWER(INDEX(SPLIT(TRIM(A709), "" ""), 1)) &amp; ""."" &amp; LOWER(INDEX(SPLIT(TRIM(A709), "" ""), COUNTA(SPLIT(TRIM(A709), "" "")))) &amp; ""@zupee.in""
   ), 
"&amp;"   """")"),"")</f>
        <v/>
      </c>
      <c r="C709" s="10"/>
    </row>
    <row r="710" ht="15.75" customHeight="1">
      <c r="A710" s="12"/>
      <c r="B710" s="9" t="str">
        <f>IFERROR(__xludf.DUMMYFUNCTION("IF(A710&lt;&gt;"""", 
   IF(COUNTA(SPLIT(TRIM(A710), "" ""))=1, 
      LOWER(TRIM(A710)) &amp; ""@zupee.in"", 
      LOWER(INDEX(SPLIT(TRIM(A710), "" ""), 1)) &amp; ""."" &amp; LOWER(INDEX(SPLIT(TRIM(A710), "" ""), COUNTA(SPLIT(TRIM(A710), "" "")))) &amp; ""@zupee.in""
   ), 
"&amp;"   """")"),"")</f>
        <v/>
      </c>
      <c r="C710" s="10"/>
    </row>
    <row r="711" ht="15.75" customHeight="1">
      <c r="A711" s="12"/>
      <c r="B711" s="9" t="str">
        <f>IFERROR(__xludf.DUMMYFUNCTION("IF(A711&lt;&gt;"""", 
   IF(COUNTA(SPLIT(TRIM(A711), "" ""))=1, 
      LOWER(TRIM(A711)) &amp; ""@zupee.in"", 
      LOWER(INDEX(SPLIT(TRIM(A711), "" ""), 1)) &amp; ""."" &amp; LOWER(INDEX(SPLIT(TRIM(A711), "" ""), COUNTA(SPLIT(TRIM(A711), "" "")))) &amp; ""@zupee.in""
   ), 
"&amp;"   """")"),"")</f>
        <v/>
      </c>
      <c r="C711" s="10"/>
    </row>
    <row r="712" ht="15.75" customHeight="1">
      <c r="A712" s="12"/>
      <c r="B712" s="9" t="str">
        <f>IFERROR(__xludf.DUMMYFUNCTION("IF(A712&lt;&gt;"""", 
   IF(COUNTA(SPLIT(TRIM(A712), "" ""))=1, 
      LOWER(TRIM(A712)) &amp; ""@zupee.in"", 
      LOWER(INDEX(SPLIT(TRIM(A712), "" ""), 1)) &amp; ""."" &amp; LOWER(INDEX(SPLIT(TRIM(A712), "" ""), COUNTA(SPLIT(TRIM(A712), "" "")))) &amp; ""@zupee.in""
   ), 
"&amp;"   """")"),"")</f>
        <v/>
      </c>
      <c r="C712" s="10"/>
    </row>
    <row r="713" ht="15.75" customHeight="1">
      <c r="A713" s="12"/>
      <c r="B713" s="9" t="str">
        <f>IFERROR(__xludf.DUMMYFUNCTION("IF(A713&lt;&gt;"""", 
   IF(COUNTA(SPLIT(TRIM(A713), "" ""))=1, 
      LOWER(TRIM(A713)) &amp; ""@zupee.in"", 
      LOWER(INDEX(SPLIT(TRIM(A713), "" ""), 1)) &amp; ""."" &amp; LOWER(INDEX(SPLIT(TRIM(A713), "" ""), COUNTA(SPLIT(TRIM(A713), "" "")))) &amp; ""@zupee.in""
   ), 
"&amp;"   """")"),"")</f>
        <v/>
      </c>
      <c r="C713" s="10"/>
    </row>
    <row r="714" ht="15.75" customHeight="1">
      <c r="A714" s="12"/>
      <c r="B714" s="9" t="str">
        <f>IFERROR(__xludf.DUMMYFUNCTION("IF(A714&lt;&gt;"""", 
   IF(COUNTA(SPLIT(TRIM(A714), "" ""))=1, 
      LOWER(TRIM(A714)) &amp; ""@zupee.in"", 
      LOWER(INDEX(SPLIT(TRIM(A714), "" ""), 1)) &amp; ""."" &amp; LOWER(INDEX(SPLIT(TRIM(A714), "" ""), COUNTA(SPLIT(TRIM(A714), "" "")))) &amp; ""@zupee.in""
   ), 
"&amp;"   """")"),"")</f>
        <v/>
      </c>
      <c r="C714" s="10"/>
    </row>
    <row r="715" ht="15.75" customHeight="1">
      <c r="A715" s="12"/>
      <c r="B715" s="9" t="str">
        <f>IFERROR(__xludf.DUMMYFUNCTION("IF(A715&lt;&gt;"""", 
   IF(COUNTA(SPLIT(TRIM(A715), "" ""))=1, 
      LOWER(TRIM(A715)) &amp; ""@zupee.in"", 
      LOWER(INDEX(SPLIT(TRIM(A715), "" ""), 1)) &amp; ""."" &amp; LOWER(INDEX(SPLIT(TRIM(A715), "" ""), COUNTA(SPLIT(TRIM(A715), "" "")))) &amp; ""@zupee.in""
   ), 
"&amp;"   """")"),"")</f>
        <v/>
      </c>
      <c r="C715" s="10"/>
    </row>
    <row r="716" ht="15.75" customHeight="1">
      <c r="A716" s="12"/>
      <c r="B716" s="9" t="str">
        <f>IFERROR(__xludf.DUMMYFUNCTION("IF(A716&lt;&gt;"""", 
   IF(COUNTA(SPLIT(TRIM(A716), "" ""))=1, 
      LOWER(TRIM(A716)) &amp; ""@zupee.in"", 
      LOWER(INDEX(SPLIT(TRIM(A716), "" ""), 1)) &amp; ""."" &amp; LOWER(INDEX(SPLIT(TRIM(A716), "" ""), COUNTA(SPLIT(TRIM(A716), "" "")))) &amp; ""@zupee.in""
   ), 
"&amp;"   """")"),"")</f>
        <v/>
      </c>
      <c r="C716" s="10"/>
    </row>
    <row r="717" ht="15.75" customHeight="1">
      <c r="A717" s="12"/>
      <c r="B717" s="9" t="str">
        <f>IFERROR(__xludf.DUMMYFUNCTION("IF(A717&lt;&gt;"""", 
   IF(COUNTA(SPLIT(TRIM(A717), "" ""))=1, 
      LOWER(TRIM(A717)) &amp; ""@zupee.in"", 
      LOWER(INDEX(SPLIT(TRIM(A717), "" ""), 1)) &amp; ""."" &amp; LOWER(INDEX(SPLIT(TRIM(A717), "" ""), COUNTA(SPLIT(TRIM(A717), "" "")))) &amp; ""@zupee.in""
   ), 
"&amp;"   """")"),"")</f>
        <v/>
      </c>
      <c r="C717" s="10"/>
    </row>
    <row r="718" ht="15.75" customHeight="1">
      <c r="A718" s="12"/>
      <c r="B718" s="9" t="str">
        <f>IFERROR(__xludf.DUMMYFUNCTION("IF(A718&lt;&gt;"""", 
   IF(COUNTA(SPLIT(TRIM(A718), "" ""))=1, 
      LOWER(TRIM(A718)) &amp; ""@zupee.in"", 
      LOWER(INDEX(SPLIT(TRIM(A718), "" ""), 1)) &amp; ""."" &amp; LOWER(INDEX(SPLIT(TRIM(A718), "" ""), COUNTA(SPLIT(TRIM(A718), "" "")))) &amp; ""@zupee.in""
   ), 
"&amp;"   """")"),"")</f>
        <v/>
      </c>
      <c r="C718" s="10"/>
    </row>
    <row r="719" ht="15.75" customHeight="1">
      <c r="A719" s="12"/>
      <c r="B719" s="9" t="str">
        <f>IFERROR(__xludf.DUMMYFUNCTION("IF(A719&lt;&gt;"""", 
   IF(COUNTA(SPLIT(TRIM(A719), "" ""))=1, 
      LOWER(TRIM(A719)) &amp; ""@zupee.in"", 
      LOWER(INDEX(SPLIT(TRIM(A719), "" ""), 1)) &amp; ""."" &amp; LOWER(INDEX(SPLIT(TRIM(A719), "" ""), COUNTA(SPLIT(TRIM(A719), "" "")))) &amp; ""@zupee.in""
   ), 
"&amp;"   """")"),"")</f>
        <v/>
      </c>
      <c r="C719" s="10"/>
    </row>
    <row r="720" ht="15.75" customHeight="1">
      <c r="A720" s="12"/>
      <c r="B720" s="9" t="str">
        <f>IFERROR(__xludf.DUMMYFUNCTION("IF(A720&lt;&gt;"""", 
   IF(COUNTA(SPLIT(TRIM(A720), "" ""))=1, 
      LOWER(TRIM(A720)) &amp; ""@zupee.in"", 
      LOWER(INDEX(SPLIT(TRIM(A720), "" ""), 1)) &amp; ""."" &amp; LOWER(INDEX(SPLIT(TRIM(A720), "" ""), COUNTA(SPLIT(TRIM(A720), "" "")))) &amp; ""@zupee.in""
   ), 
"&amp;"   """")"),"")</f>
        <v/>
      </c>
      <c r="C720" s="10"/>
    </row>
    <row r="721" ht="15.75" customHeight="1">
      <c r="A721" s="12"/>
      <c r="B721" s="9" t="str">
        <f>IFERROR(__xludf.DUMMYFUNCTION("IF(A721&lt;&gt;"""", 
   IF(COUNTA(SPLIT(TRIM(A721), "" ""))=1, 
      LOWER(TRIM(A721)) &amp; ""@zupee.in"", 
      LOWER(INDEX(SPLIT(TRIM(A721), "" ""), 1)) &amp; ""."" &amp; LOWER(INDEX(SPLIT(TRIM(A721), "" ""), COUNTA(SPLIT(TRIM(A721), "" "")))) &amp; ""@zupee.in""
   ), 
"&amp;"   """")"),"")</f>
        <v/>
      </c>
      <c r="C721" s="10"/>
    </row>
    <row r="722" ht="15.75" customHeight="1">
      <c r="A722" s="12"/>
      <c r="B722" s="9" t="str">
        <f>IFERROR(__xludf.DUMMYFUNCTION("IF(A722&lt;&gt;"""", 
   IF(COUNTA(SPLIT(TRIM(A722), "" ""))=1, 
      LOWER(TRIM(A722)) &amp; ""@zupee.in"", 
      LOWER(INDEX(SPLIT(TRIM(A722), "" ""), 1)) &amp; ""."" &amp; LOWER(INDEX(SPLIT(TRIM(A722), "" ""), COUNTA(SPLIT(TRIM(A722), "" "")))) &amp; ""@zupee.in""
   ), 
"&amp;"   """")"),"")</f>
        <v/>
      </c>
      <c r="C722" s="10"/>
    </row>
    <row r="723" ht="15.75" customHeight="1">
      <c r="A723" s="12"/>
      <c r="B723" s="9" t="str">
        <f>IFERROR(__xludf.DUMMYFUNCTION("IF(A723&lt;&gt;"""", 
   IF(COUNTA(SPLIT(TRIM(A723), "" ""))=1, 
      LOWER(TRIM(A723)) &amp; ""@zupee.in"", 
      LOWER(INDEX(SPLIT(TRIM(A723), "" ""), 1)) &amp; ""."" &amp; LOWER(INDEX(SPLIT(TRIM(A723), "" ""), COUNTA(SPLIT(TRIM(A723), "" "")))) &amp; ""@zupee.in""
   ), 
"&amp;"   """")"),"")</f>
        <v/>
      </c>
      <c r="C723" s="10"/>
    </row>
    <row r="724" ht="15.75" customHeight="1">
      <c r="A724" s="12"/>
      <c r="B724" s="9" t="str">
        <f>IFERROR(__xludf.DUMMYFUNCTION("IF(A724&lt;&gt;"""", 
   IF(COUNTA(SPLIT(TRIM(A724), "" ""))=1, 
      LOWER(TRIM(A724)) &amp; ""@zupee.in"", 
      LOWER(INDEX(SPLIT(TRIM(A724), "" ""), 1)) &amp; ""."" &amp; LOWER(INDEX(SPLIT(TRIM(A724), "" ""), COUNTA(SPLIT(TRIM(A724), "" "")))) &amp; ""@zupee.in""
   ), 
"&amp;"   """")"),"")</f>
        <v/>
      </c>
      <c r="C724" s="10"/>
    </row>
    <row r="725" ht="15.75" customHeight="1">
      <c r="A725" s="12"/>
      <c r="B725" s="9" t="str">
        <f>IFERROR(__xludf.DUMMYFUNCTION("IF(A725&lt;&gt;"""", 
   IF(COUNTA(SPLIT(TRIM(A725), "" ""))=1, 
      LOWER(TRIM(A725)) &amp; ""@zupee.in"", 
      LOWER(INDEX(SPLIT(TRIM(A725), "" ""), 1)) &amp; ""."" &amp; LOWER(INDEX(SPLIT(TRIM(A725), "" ""), COUNTA(SPLIT(TRIM(A725), "" "")))) &amp; ""@zupee.in""
   ), 
"&amp;"   """")"),"")</f>
        <v/>
      </c>
      <c r="C725" s="10"/>
    </row>
    <row r="726" ht="15.75" customHeight="1">
      <c r="A726" s="12"/>
      <c r="B726" s="9" t="str">
        <f>IFERROR(__xludf.DUMMYFUNCTION("IF(A726&lt;&gt;"""", 
   IF(COUNTA(SPLIT(TRIM(A726), "" ""))=1, 
      LOWER(TRIM(A726)) &amp; ""@zupee.in"", 
      LOWER(INDEX(SPLIT(TRIM(A726), "" ""), 1)) &amp; ""."" &amp; LOWER(INDEX(SPLIT(TRIM(A726), "" ""), COUNTA(SPLIT(TRIM(A726), "" "")))) &amp; ""@zupee.in""
   ), 
"&amp;"   """")"),"")</f>
        <v/>
      </c>
      <c r="C726" s="10"/>
    </row>
    <row r="727" ht="15.75" customHeight="1">
      <c r="A727" s="12"/>
      <c r="B727" s="9" t="str">
        <f>IFERROR(__xludf.DUMMYFUNCTION("IF(A727&lt;&gt;"""", 
   IF(COUNTA(SPLIT(TRIM(A727), "" ""))=1, 
      LOWER(TRIM(A727)) &amp; ""@zupee.in"", 
      LOWER(INDEX(SPLIT(TRIM(A727), "" ""), 1)) &amp; ""."" &amp; LOWER(INDEX(SPLIT(TRIM(A727), "" ""), COUNTA(SPLIT(TRIM(A727), "" "")))) &amp; ""@zupee.in""
   ), 
"&amp;"   """")"),"")</f>
        <v/>
      </c>
      <c r="C727" s="10"/>
    </row>
    <row r="728" ht="15.75" customHeight="1">
      <c r="A728" s="12"/>
      <c r="B728" s="9" t="str">
        <f>IFERROR(__xludf.DUMMYFUNCTION("IF(A728&lt;&gt;"""", 
   IF(COUNTA(SPLIT(TRIM(A728), "" ""))=1, 
      LOWER(TRIM(A728)) &amp; ""@zupee.in"", 
      LOWER(INDEX(SPLIT(TRIM(A728), "" ""), 1)) &amp; ""."" &amp; LOWER(INDEX(SPLIT(TRIM(A728), "" ""), COUNTA(SPLIT(TRIM(A728), "" "")))) &amp; ""@zupee.in""
   ), 
"&amp;"   """")"),"")</f>
        <v/>
      </c>
      <c r="C728" s="10"/>
    </row>
    <row r="729" ht="15.75" customHeight="1">
      <c r="A729" s="12"/>
      <c r="B729" s="9" t="str">
        <f>IFERROR(__xludf.DUMMYFUNCTION("IF(A729&lt;&gt;"""", 
   IF(COUNTA(SPLIT(TRIM(A729), "" ""))=1, 
      LOWER(TRIM(A729)) &amp; ""@zupee.in"", 
      LOWER(INDEX(SPLIT(TRIM(A729), "" ""), 1)) &amp; ""."" &amp; LOWER(INDEX(SPLIT(TRIM(A729), "" ""), COUNTA(SPLIT(TRIM(A729), "" "")))) &amp; ""@zupee.in""
   ), 
"&amp;"   """")"),"")</f>
        <v/>
      </c>
      <c r="C729" s="10"/>
    </row>
    <row r="730" ht="15.75" customHeight="1">
      <c r="A730" s="12"/>
      <c r="B730" s="9" t="str">
        <f>IFERROR(__xludf.DUMMYFUNCTION("IF(A730&lt;&gt;"""", 
   IF(COUNTA(SPLIT(TRIM(A730), "" ""))=1, 
      LOWER(TRIM(A730)) &amp; ""@zupee.in"", 
      LOWER(INDEX(SPLIT(TRIM(A730), "" ""), 1)) &amp; ""."" &amp; LOWER(INDEX(SPLIT(TRIM(A730), "" ""), COUNTA(SPLIT(TRIM(A730), "" "")))) &amp; ""@zupee.in""
   ), 
"&amp;"   """")"),"")</f>
        <v/>
      </c>
      <c r="C730" s="10"/>
    </row>
    <row r="731" ht="15.75" customHeight="1">
      <c r="A731" s="12"/>
      <c r="B731" s="9" t="str">
        <f>IFERROR(__xludf.DUMMYFUNCTION("IF(A731&lt;&gt;"""", 
   IF(COUNTA(SPLIT(TRIM(A731), "" ""))=1, 
      LOWER(TRIM(A731)) &amp; ""@zupee.in"", 
      LOWER(INDEX(SPLIT(TRIM(A731), "" ""), 1)) &amp; ""."" &amp; LOWER(INDEX(SPLIT(TRIM(A731), "" ""), COUNTA(SPLIT(TRIM(A731), "" "")))) &amp; ""@zupee.in""
   ), 
"&amp;"   """")"),"")</f>
        <v/>
      </c>
      <c r="C731" s="10"/>
    </row>
    <row r="732" ht="15.75" customHeight="1">
      <c r="A732" s="12"/>
      <c r="B732" s="9" t="str">
        <f>IFERROR(__xludf.DUMMYFUNCTION("IF(A732&lt;&gt;"""", 
   IF(COUNTA(SPLIT(TRIM(A732), "" ""))=1, 
      LOWER(TRIM(A732)) &amp; ""@zupee.in"", 
      LOWER(INDEX(SPLIT(TRIM(A732), "" ""), 1)) &amp; ""."" &amp; LOWER(INDEX(SPLIT(TRIM(A732), "" ""), COUNTA(SPLIT(TRIM(A732), "" "")))) &amp; ""@zupee.in""
   ), 
"&amp;"   """")"),"")</f>
        <v/>
      </c>
      <c r="C732" s="10"/>
    </row>
    <row r="733" ht="15.75" customHeight="1">
      <c r="A733" s="12"/>
      <c r="B733" s="9" t="str">
        <f>IFERROR(__xludf.DUMMYFUNCTION("IF(A733&lt;&gt;"""", 
   IF(COUNTA(SPLIT(TRIM(A733), "" ""))=1, 
      LOWER(TRIM(A733)) &amp; ""@zupee.in"", 
      LOWER(INDEX(SPLIT(TRIM(A733), "" ""), 1)) &amp; ""."" &amp; LOWER(INDEX(SPLIT(TRIM(A733), "" ""), COUNTA(SPLIT(TRIM(A733), "" "")))) &amp; ""@zupee.in""
   ), 
"&amp;"   """")"),"")</f>
        <v/>
      </c>
      <c r="C733" s="10"/>
    </row>
    <row r="734" ht="15.75" customHeight="1">
      <c r="A734" s="12"/>
      <c r="B734" s="9" t="str">
        <f>IFERROR(__xludf.DUMMYFUNCTION("IF(A734&lt;&gt;"""", 
   IF(COUNTA(SPLIT(TRIM(A734), "" ""))=1, 
      LOWER(TRIM(A734)) &amp; ""@zupee.in"", 
      LOWER(INDEX(SPLIT(TRIM(A734), "" ""), 1)) &amp; ""."" &amp; LOWER(INDEX(SPLIT(TRIM(A734), "" ""), COUNTA(SPLIT(TRIM(A734), "" "")))) &amp; ""@zupee.in""
   ), 
"&amp;"   """")"),"")</f>
        <v/>
      </c>
      <c r="C734" s="10"/>
    </row>
    <row r="735" ht="15.75" customHeight="1">
      <c r="A735" s="12"/>
      <c r="B735" s="9" t="str">
        <f>IFERROR(__xludf.DUMMYFUNCTION("IF(A735&lt;&gt;"""", 
   IF(COUNTA(SPLIT(TRIM(A735), "" ""))=1, 
      LOWER(TRIM(A735)) &amp; ""@zupee.in"", 
      LOWER(INDEX(SPLIT(TRIM(A735), "" ""), 1)) &amp; ""."" &amp; LOWER(INDEX(SPLIT(TRIM(A735), "" ""), COUNTA(SPLIT(TRIM(A735), "" "")))) &amp; ""@zupee.in""
   ), 
"&amp;"   """")"),"")</f>
        <v/>
      </c>
      <c r="C735" s="10"/>
    </row>
    <row r="736" ht="15.75" customHeight="1">
      <c r="A736" s="12"/>
      <c r="B736" s="9" t="str">
        <f>IFERROR(__xludf.DUMMYFUNCTION("IF(A736&lt;&gt;"""", 
   IF(COUNTA(SPLIT(TRIM(A736), "" ""))=1, 
      LOWER(TRIM(A736)) &amp; ""@zupee.in"", 
      LOWER(INDEX(SPLIT(TRIM(A736), "" ""), 1)) &amp; ""."" &amp; LOWER(INDEX(SPLIT(TRIM(A736), "" ""), COUNTA(SPLIT(TRIM(A736), "" "")))) &amp; ""@zupee.in""
   ), 
"&amp;"   """")"),"")</f>
        <v/>
      </c>
      <c r="C736" s="10"/>
    </row>
    <row r="737" ht="15.75" customHeight="1">
      <c r="A737" s="12"/>
      <c r="B737" s="9" t="str">
        <f>IFERROR(__xludf.DUMMYFUNCTION("IF(A737&lt;&gt;"""", 
   IF(COUNTA(SPLIT(TRIM(A737), "" ""))=1, 
      LOWER(TRIM(A737)) &amp; ""@zupee.in"", 
      LOWER(INDEX(SPLIT(TRIM(A737), "" ""), 1)) &amp; ""."" &amp; LOWER(INDEX(SPLIT(TRIM(A737), "" ""), COUNTA(SPLIT(TRIM(A737), "" "")))) &amp; ""@zupee.in""
   ), 
"&amp;"   """")"),"")</f>
        <v/>
      </c>
      <c r="C737" s="10"/>
    </row>
    <row r="738" ht="15.75" customHeight="1">
      <c r="A738" s="12"/>
      <c r="B738" s="9" t="str">
        <f>IFERROR(__xludf.DUMMYFUNCTION("IF(A738&lt;&gt;"""", 
   IF(COUNTA(SPLIT(TRIM(A738), "" ""))=1, 
      LOWER(TRIM(A738)) &amp; ""@zupee.in"", 
      LOWER(INDEX(SPLIT(TRIM(A738), "" ""), 1)) &amp; ""."" &amp; LOWER(INDEX(SPLIT(TRIM(A738), "" ""), COUNTA(SPLIT(TRIM(A738), "" "")))) &amp; ""@zupee.in""
   ), 
"&amp;"   """")"),"")</f>
        <v/>
      </c>
      <c r="C738" s="10"/>
    </row>
    <row r="739" ht="15.75" customHeight="1">
      <c r="A739" s="12"/>
      <c r="B739" s="9" t="str">
        <f>IFERROR(__xludf.DUMMYFUNCTION("IF(A739&lt;&gt;"""", 
   IF(COUNTA(SPLIT(TRIM(A739), "" ""))=1, 
      LOWER(TRIM(A739)) &amp; ""@zupee.in"", 
      LOWER(INDEX(SPLIT(TRIM(A739), "" ""), 1)) &amp; ""."" &amp; LOWER(INDEX(SPLIT(TRIM(A739), "" ""), COUNTA(SPLIT(TRIM(A739), "" "")))) &amp; ""@zupee.in""
   ), 
"&amp;"   """")"),"")</f>
        <v/>
      </c>
      <c r="C739" s="10"/>
    </row>
    <row r="740" ht="15.75" customHeight="1">
      <c r="A740" s="12"/>
      <c r="B740" s="9" t="str">
        <f>IFERROR(__xludf.DUMMYFUNCTION("IF(A740&lt;&gt;"""", 
   IF(COUNTA(SPLIT(TRIM(A740), "" ""))=1, 
      LOWER(TRIM(A740)) &amp; ""@zupee.in"", 
      LOWER(INDEX(SPLIT(TRIM(A740), "" ""), 1)) &amp; ""."" &amp; LOWER(INDEX(SPLIT(TRIM(A740), "" ""), COUNTA(SPLIT(TRIM(A740), "" "")))) &amp; ""@zupee.in""
   ), 
"&amp;"   """")"),"")</f>
        <v/>
      </c>
      <c r="C740" s="10"/>
    </row>
    <row r="741" ht="15.75" customHeight="1">
      <c r="A741" s="12"/>
      <c r="B741" s="9" t="str">
        <f>IFERROR(__xludf.DUMMYFUNCTION("IF(A741&lt;&gt;"""", 
   IF(COUNTA(SPLIT(TRIM(A741), "" ""))=1, 
      LOWER(TRIM(A741)) &amp; ""@zupee.in"", 
      LOWER(INDEX(SPLIT(TRIM(A741), "" ""), 1)) &amp; ""."" &amp; LOWER(INDEX(SPLIT(TRIM(A741), "" ""), COUNTA(SPLIT(TRIM(A741), "" "")))) &amp; ""@zupee.in""
   ), 
"&amp;"   """")"),"")</f>
        <v/>
      </c>
      <c r="C741" s="10"/>
    </row>
    <row r="742" ht="15.75" customHeight="1">
      <c r="A742" s="12"/>
      <c r="B742" s="9" t="str">
        <f>IFERROR(__xludf.DUMMYFUNCTION("IF(A742&lt;&gt;"""", 
   IF(COUNTA(SPLIT(TRIM(A742), "" ""))=1, 
      LOWER(TRIM(A742)) &amp; ""@zupee.in"", 
      LOWER(INDEX(SPLIT(TRIM(A742), "" ""), 1)) &amp; ""."" &amp; LOWER(INDEX(SPLIT(TRIM(A742), "" ""), COUNTA(SPLIT(TRIM(A742), "" "")))) &amp; ""@zupee.in""
   ), 
"&amp;"   """")"),"")</f>
        <v/>
      </c>
      <c r="C742" s="10"/>
    </row>
    <row r="743" ht="15.75" customHeight="1">
      <c r="A743" s="12"/>
      <c r="B743" s="9" t="str">
        <f>IFERROR(__xludf.DUMMYFUNCTION("IF(A743&lt;&gt;"""", 
   IF(COUNTA(SPLIT(TRIM(A743), "" ""))=1, 
      LOWER(TRIM(A743)) &amp; ""@zupee.in"", 
      LOWER(INDEX(SPLIT(TRIM(A743), "" ""), 1)) &amp; ""."" &amp; LOWER(INDEX(SPLIT(TRIM(A743), "" ""), COUNTA(SPLIT(TRIM(A743), "" "")))) &amp; ""@zupee.in""
   ), 
"&amp;"   """")"),"")</f>
        <v/>
      </c>
      <c r="C743" s="10"/>
    </row>
    <row r="744" ht="15.75" customHeight="1">
      <c r="A744" s="12"/>
      <c r="B744" s="9" t="str">
        <f>IFERROR(__xludf.DUMMYFUNCTION("IF(A744&lt;&gt;"""", 
   IF(COUNTA(SPLIT(TRIM(A744), "" ""))=1, 
      LOWER(TRIM(A744)) &amp; ""@zupee.in"", 
      LOWER(INDEX(SPLIT(TRIM(A744), "" ""), 1)) &amp; ""."" &amp; LOWER(INDEX(SPLIT(TRIM(A744), "" ""), COUNTA(SPLIT(TRIM(A744), "" "")))) &amp; ""@zupee.in""
   ), 
"&amp;"   """")"),"")</f>
        <v/>
      </c>
      <c r="C744" s="10"/>
    </row>
    <row r="745" ht="15.75" customHeight="1">
      <c r="A745" s="12"/>
      <c r="B745" s="9" t="str">
        <f>IFERROR(__xludf.DUMMYFUNCTION("IF(A745&lt;&gt;"""", 
   IF(COUNTA(SPLIT(TRIM(A745), "" ""))=1, 
      LOWER(TRIM(A745)) &amp; ""@zupee.in"", 
      LOWER(INDEX(SPLIT(TRIM(A745), "" ""), 1)) &amp; ""."" &amp; LOWER(INDEX(SPLIT(TRIM(A745), "" ""), COUNTA(SPLIT(TRIM(A745), "" "")))) &amp; ""@zupee.in""
   ), 
"&amp;"   """")"),"")</f>
        <v/>
      </c>
      <c r="C745" s="10"/>
    </row>
    <row r="746" ht="15.75" customHeight="1">
      <c r="A746" s="12"/>
      <c r="B746" s="9" t="str">
        <f>IFERROR(__xludf.DUMMYFUNCTION("IF(A746&lt;&gt;"""", 
   IF(COUNTA(SPLIT(TRIM(A746), "" ""))=1, 
      LOWER(TRIM(A746)) &amp; ""@zupee.in"", 
      LOWER(INDEX(SPLIT(TRIM(A746), "" ""), 1)) &amp; ""."" &amp; LOWER(INDEX(SPLIT(TRIM(A746), "" ""), COUNTA(SPLIT(TRIM(A746), "" "")))) &amp; ""@zupee.in""
   ), 
"&amp;"   """")"),"")</f>
        <v/>
      </c>
      <c r="C746" s="10"/>
    </row>
    <row r="747" ht="15.75" customHeight="1">
      <c r="A747" s="12"/>
      <c r="B747" s="9" t="str">
        <f>IFERROR(__xludf.DUMMYFUNCTION("IF(A747&lt;&gt;"""", 
   IF(COUNTA(SPLIT(TRIM(A747), "" ""))=1, 
      LOWER(TRIM(A747)) &amp; ""@zupee.in"", 
      LOWER(INDEX(SPLIT(TRIM(A747), "" ""), 1)) &amp; ""."" &amp; LOWER(INDEX(SPLIT(TRIM(A747), "" ""), COUNTA(SPLIT(TRIM(A747), "" "")))) &amp; ""@zupee.in""
   ), 
"&amp;"   """")"),"")</f>
        <v/>
      </c>
      <c r="C747" s="10"/>
    </row>
    <row r="748" ht="15.75" customHeight="1">
      <c r="A748" s="12"/>
      <c r="B748" s="9" t="str">
        <f>IFERROR(__xludf.DUMMYFUNCTION("IF(A748&lt;&gt;"""", 
   IF(COUNTA(SPLIT(TRIM(A748), "" ""))=1, 
      LOWER(TRIM(A748)) &amp; ""@zupee.in"", 
      LOWER(INDEX(SPLIT(TRIM(A748), "" ""), 1)) &amp; ""."" &amp; LOWER(INDEX(SPLIT(TRIM(A748), "" ""), COUNTA(SPLIT(TRIM(A748), "" "")))) &amp; ""@zupee.in""
   ), 
"&amp;"   """")"),"")</f>
        <v/>
      </c>
      <c r="C748" s="10"/>
    </row>
    <row r="749" ht="15.75" customHeight="1">
      <c r="A749" s="12"/>
      <c r="B749" s="9" t="str">
        <f>IFERROR(__xludf.DUMMYFUNCTION("IF(A749&lt;&gt;"""", 
   IF(COUNTA(SPLIT(TRIM(A749), "" ""))=1, 
      LOWER(TRIM(A749)) &amp; ""@zupee.in"", 
      LOWER(INDEX(SPLIT(TRIM(A749), "" ""), 1)) &amp; ""."" &amp; LOWER(INDEX(SPLIT(TRIM(A749), "" ""), COUNTA(SPLIT(TRIM(A749), "" "")))) &amp; ""@zupee.in""
   ), 
"&amp;"   """")"),"")</f>
        <v/>
      </c>
      <c r="C749" s="10"/>
    </row>
    <row r="750" ht="15.75" customHeight="1">
      <c r="A750" s="12"/>
      <c r="B750" s="9" t="str">
        <f>IFERROR(__xludf.DUMMYFUNCTION("IF(A750&lt;&gt;"""", 
   IF(COUNTA(SPLIT(TRIM(A750), "" ""))=1, 
      LOWER(TRIM(A750)) &amp; ""@zupee.in"", 
      LOWER(INDEX(SPLIT(TRIM(A750), "" ""), 1)) &amp; ""."" &amp; LOWER(INDEX(SPLIT(TRIM(A750), "" ""), COUNTA(SPLIT(TRIM(A750), "" "")))) &amp; ""@zupee.in""
   ), 
"&amp;"   """")"),"")</f>
        <v/>
      </c>
      <c r="C750" s="10"/>
    </row>
    <row r="751" ht="15.75" customHeight="1">
      <c r="A751" s="12"/>
      <c r="B751" s="9" t="str">
        <f>IFERROR(__xludf.DUMMYFUNCTION("IF(A751&lt;&gt;"""", 
   IF(COUNTA(SPLIT(TRIM(A751), "" ""))=1, 
      LOWER(TRIM(A751)) &amp; ""@zupee.in"", 
      LOWER(INDEX(SPLIT(TRIM(A751), "" ""), 1)) &amp; ""."" &amp; LOWER(INDEX(SPLIT(TRIM(A751), "" ""), COUNTA(SPLIT(TRIM(A751), "" "")))) &amp; ""@zupee.in""
   ), 
"&amp;"   """")"),"")</f>
        <v/>
      </c>
      <c r="C751" s="10"/>
    </row>
    <row r="752" ht="15.75" customHeight="1">
      <c r="A752" s="12"/>
      <c r="B752" s="9" t="str">
        <f>IFERROR(__xludf.DUMMYFUNCTION("IF(A752&lt;&gt;"""", 
   IF(COUNTA(SPLIT(TRIM(A752), "" ""))=1, 
      LOWER(TRIM(A752)) &amp; ""@zupee.in"", 
      LOWER(INDEX(SPLIT(TRIM(A752), "" ""), 1)) &amp; ""."" &amp; LOWER(INDEX(SPLIT(TRIM(A752), "" ""), COUNTA(SPLIT(TRIM(A752), "" "")))) &amp; ""@zupee.in""
   ), 
"&amp;"   """")"),"")</f>
        <v/>
      </c>
      <c r="C752" s="10"/>
    </row>
    <row r="753" ht="15.75" customHeight="1">
      <c r="A753" s="12"/>
      <c r="B753" s="9" t="str">
        <f>IFERROR(__xludf.DUMMYFUNCTION("IF(A753&lt;&gt;"""", 
   IF(COUNTA(SPLIT(TRIM(A753), "" ""))=1, 
      LOWER(TRIM(A753)) &amp; ""@zupee.in"", 
      LOWER(INDEX(SPLIT(TRIM(A753), "" ""), 1)) &amp; ""."" &amp; LOWER(INDEX(SPLIT(TRIM(A753), "" ""), COUNTA(SPLIT(TRIM(A753), "" "")))) &amp; ""@zupee.in""
   ), 
"&amp;"   """")"),"")</f>
        <v/>
      </c>
      <c r="C753" s="10"/>
    </row>
    <row r="754" ht="15.75" customHeight="1">
      <c r="A754" s="12"/>
      <c r="B754" s="9" t="str">
        <f>IFERROR(__xludf.DUMMYFUNCTION("IF(A754&lt;&gt;"""", 
   IF(COUNTA(SPLIT(TRIM(A754), "" ""))=1, 
      LOWER(TRIM(A754)) &amp; ""@zupee.in"", 
      LOWER(INDEX(SPLIT(TRIM(A754), "" ""), 1)) &amp; ""."" &amp; LOWER(INDEX(SPLIT(TRIM(A754), "" ""), COUNTA(SPLIT(TRIM(A754), "" "")))) &amp; ""@zupee.in""
   ), 
"&amp;"   """")"),"")</f>
        <v/>
      </c>
      <c r="C754" s="10"/>
    </row>
    <row r="755" ht="15.75" customHeight="1">
      <c r="A755" s="12"/>
      <c r="B755" s="9" t="str">
        <f>IFERROR(__xludf.DUMMYFUNCTION("IF(A755&lt;&gt;"""", 
   IF(COUNTA(SPLIT(TRIM(A755), "" ""))=1, 
      LOWER(TRIM(A755)) &amp; ""@zupee.in"", 
      LOWER(INDEX(SPLIT(TRIM(A755), "" ""), 1)) &amp; ""."" &amp; LOWER(INDEX(SPLIT(TRIM(A755), "" ""), COUNTA(SPLIT(TRIM(A755), "" "")))) &amp; ""@zupee.in""
   ), 
"&amp;"   """")"),"")</f>
        <v/>
      </c>
      <c r="C755" s="10"/>
    </row>
    <row r="756" ht="15.75" customHeight="1">
      <c r="A756" s="12"/>
      <c r="B756" s="9" t="str">
        <f>IFERROR(__xludf.DUMMYFUNCTION("IF(A756&lt;&gt;"""", 
   IF(COUNTA(SPLIT(TRIM(A756), "" ""))=1, 
      LOWER(TRIM(A756)) &amp; ""@zupee.in"", 
      LOWER(INDEX(SPLIT(TRIM(A756), "" ""), 1)) &amp; ""."" &amp; LOWER(INDEX(SPLIT(TRIM(A756), "" ""), COUNTA(SPLIT(TRIM(A756), "" "")))) &amp; ""@zupee.in""
   ), 
"&amp;"   """")"),"")</f>
        <v/>
      </c>
      <c r="C756" s="10"/>
    </row>
    <row r="757" ht="15.75" customHeight="1">
      <c r="A757" s="12"/>
      <c r="B757" s="9" t="str">
        <f>IFERROR(__xludf.DUMMYFUNCTION("IF(A757&lt;&gt;"""", 
   IF(COUNTA(SPLIT(TRIM(A757), "" ""))=1, 
      LOWER(TRIM(A757)) &amp; ""@zupee.in"", 
      LOWER(INDEX(SPLIT(TRIM(A757), "" ""), 1)) &amp; ""."" &amp; LOWER(INDEX(SPLIT(TRIM(A757), "" ""), COUNTA(SPLIT(TRIM(A757), "" "")))) &amp; ""@zupee.in""
   ), 
"&amp;"   """")"),"")</f>
        <v/>
      </c>
      <c r="C757" s="10"/>
    </row>
    <row r="758" ht="15.75" customHeight="1">
      <c r="A758" s="12"/>
      <c r="B758" s="9" t="str">
        <f>IFERROR(__xludf.DUMMYFUNCTION("IF(A758&lt;&gt;"""", 
   IF(COUNTA(SPLIT(TRIM(A758), "" ""))=1, 
      LOWER(TRIM(A758)) &amp; ""@zupee.in"", 
      LOWER(INDEX(SPLIT(TRIM(A758), "" ""), 1)) &amp; ""."" &amp; LOWER(INDEX(SPLIT(TRIM(A758), "" ""), COUNTA(SPLIT(TRIM(A758), "" "")))) &amp; ""@zupee.in""
   ), 
"&amp;"   """")"),"")</f>
        <v/>
      </c>
      <c r="C758" s="10"/>
    </row>
    <row r="759" ht="15.75" customHeight="1">
      <c r="A759" s="12"/>
      <c r="B759" s="9" t="str">
        <f>IFERROR(__xludf.DUMMYFUNCTION("IF(A759&lt;&gt;"""", 
   IF(COUNTA(SPLIT(TRIM(A759), "" ""))=1, 
      LOWER(TRIM(A759)) &amp; ""@zupee.in"", 
      LOWER(INDEX(SPLIT(TRIM(A759), "" ""), 1)) &amp; ""."" &amp; LOWER(INDEX(SPLIT(TRIM(A759), "" ""), COUNTA(SPLIT(TRIM(A759), "" "")))) &amp; ""@zupee.in""
   ), 
"&amp;"   """")"),"")</f>
        <v/>
      </c>
      <c r="C759" s="10"/>
    </row>
    <row r="760" ht="15.75" customHeight="1">
      <c r="A760" s="12"/>
      <c r="B760" s="9" t="str">
        <f>IFERROR(__xludf.DUMMYFUNCTION("IF(A760&lt;&gt;"""", 
   IF(COUNTA(SPLIT(TRIM(A760), "" ""))=1, 
      LOWER(TRIM(A760)) &amp; ""@zupee.in"", 
      LOWER(INDEX(SPLIT(TRIM(A760), "" ""), 1)) &amp; ""."" &amp; LOWER(INDEX(SPLIT(TRIM(A760), "" ""), COUNTA(SPLIT(TRIM(A760), "" "")))) &amp; ""@zupee.in""
   ), 
"&amp;"   """")"),"")</f>
        <v/>
      </c>
      <c r="C760" s="10"/>
    </row>
    <row r="761" ht="15.75" customHeight="1">
      <c r="A761" s="12"/>
      <c r="B761" s="9" t="str">
        <f>IFERROR(__xludf.DUMMYFUNCTION("IF(A761&lt;&gt;"""", 
   IF(COUNTA(SPLIT(TRIM(A761), "" ""))=1, 
      LOWER(TRIM(A761)) &amp; ""@zupee.in"", 
      LOWER(INDEX(SPLIT(TRIM(A761), "" ""), 1)) &amp; ""."" &amp; LOWER(INDEX(SPLIT(TRIM(A761), "" ""), COUNTA(SPLIT(TRIM(A761), "" "")))) &amp; ""@zupee.in""
   ), 
"&amp;"   """")"),"")</f>
        <v/>
      </c>
      <c r="C761" s="10"/>
    </row>
    <row r="762" ht="15.75" customHeight="1">
      <c r="A762" s="12"/>
      <c r="B762" s="9" t="str">
        <f>IFERROR(__xludf.DUMMYFUNCTION("IF(A762&lt;&gt;"""", 
   IF(COUNTA(SPLIT(TRIM(A762), "" ""))=1, 
      LOWER(TRIM(A762)) &amp; ""@zupee.in"", 
      LOWER(INDEX(SPLIT(TRIM(A762), "" ""), 1)) &amp; ""."" &amp; LOWER(INDEX(SPLIT(TRIM(A762), "" ""), COUNTA(SPLIT(TRIM(A762), "" "")))) &amp; ""@zupee.in""
   ), 
"&amp;"   """")"),"")</f>
        <v/>
      </c>
      <c r="C762" s="10"/>
    </row>
    <row r="763" ht="15.75" customHeight="1">
      <c r="A763" s="12"/>
      <c r="B763" s="9" t="str">
        <f>IFERROR(__xludf.DUMMYFUNCTION("IF(A763&lt;&gt;"""", 
   IF(COUNTA(SPLIT(TRIM(A763), "" ""))=1, 
      LOWER(TRIM(A763)) &amp; ""@zupee.in"", 
      LOWER(INDEX(SPLIT(TRIM(A763), "" ""), 1)) &amp; ""."" &amp; LOWER(INDEX(SPLIT(TRIM(A763), "" ""), COUNTA(SPLIT(TRIM(A763), "" "")))) &amp; ""@zupee.in""
   ), 
"&amp;"   """")"),"")</f>
        <v/>
      </c>
      <c r="C763" s="10"/>
    </row>
    <row r="764" ht="15.75" customHeight="1">
      <c r="A764" s="12"/>
      <c r="B764" s="9" t="str">
        <f>IFERROR(__xludf.DUMMYFUNCTION("IF(A764&lt;&gt;"""", 
   IF(COUNTA(SPLIT(TRIM(A764), "" ""))=1, 
      LOWER(TRIM(A764)) &amp; ""@zupee.in"", 
      LOWER(INDEX(SPLIT(TRIM(A764), "" ""), 1)) &amp; ""."" &amp; LOWER(INDEX(SPLIT(TRIM(A764), "" ""), COUNTA(SPLIT(TRIM(A764), "" "")))) &amp; ""@zupee.in""
   ), 
"&amp;"   """")"),"")</f>
        <v/>
      </c>
      <c r="C764" s="10"/>
    </row>
    <row r="765" ht="15.75" customHeight="1">
      <c r="A765" s="12"/>
      <c r="B765" s="9" t="str">
        <f>IFERROR(__xludf.DUMMYFUNCTION("IF(A765&lt;&gt;"""", 
   IF(COUNTA(SPLIT(TRIM(A765), "" ""))=1, 
      LOWER(TRIM(A765)) &amp; ""@zupee.in"", 
      LOWER(INDEX(SPLIT(TRIM(A765), "" ""), 1)) &amp; ""."" &amp; LOWER(INDEX(SPLIT(TRIM(A765), "" ""), COUNTA(SPLIT(TRIM(A765), "" "")))) &amp; ""@zupee.in""
   ), 
"&amp;"   """")"),"")</f>
        <v/>
      </c>
      <c r="C765" s="10"/>
    </row>
    <row r="766" ht="15.75" customHeight="1">
      <c r="A766" s="12"/>
      <c r="B766" s="9" t="str">
        <f>IFERROR(__xludf.DUMMYFUNCTION("IF(A766&lt;&gt;"""", 
   IF(COUNTA(SPLIT(TRIM(A766), "" ""))=1, 
      LOWER(TRIM(A766)) &amp; ""@zupee.in"", 
      LOWER(INDEX(SPLIT(TRIM(A766), "" ""), 1)) &amp; ""."" &amp; LOWER(INDEX(SPLIT(TRIM(A766), "" ""), COUNTA(SPLIT(TRIM(A766), "" "")))) &amp; ""@zupee.in""
   ), 
"&amp;"   """")"),"")</f>
        <v/>
      </c>
      <c r="C766" s="10"/>
    </row>
    <row r="767" ht="15.75" customHeight="1">
      <c r="A767" s="12"/>
      <c r="B767" s="9" t="str">
        <f>IFERROR(__xludf.DUMMYFUNCTION("IF(A767&lt;&gt;"""", 
   IF(COUNTA(SPLIT(TRIM(A767), "" ""))=1, 
      LOWER(TRIM(A767)) &amp; ""@zupee.in"", 
      LOWER(INDEX(SPLIT(TRIM(A767), "" ""), 1)) &amp; ""."" &amp; LOWER(INDEX(SPLIT(TRIM(A767), "" ""), COUNTA(SPLIT(TRIM(A767), "" "")))) &amp; ""@zupee.in""
   ), 
"&amp;"   """")"),"")</f>
        <v/>
      </c>
      <c r="C767" s="10"/>
    </row>
    <row r="768" ht="15.75" customHeight="1">
      <c r="A768" s="12"/>
      <c r="B768" s="9" t="str">
        <f>IFERROR(__xludf.DUMMYFUNCTION("IF(A768&lt;&gt;"""", 
   IF(COUNTA(SPLIT(TRIM(A768), "" ""))=1, 
      LOWER(TRIM(A768)) &amp; ""@zupee.in"", 
      LOWER(INDEX(SPLIT(TRIM(A768), "" ""), 1)) &amp; ""."" &amp; LOWER(INDEX(SPLIT(TRIM(A768), "" ""), COUNTA(SPLIT(TRIM(A768), "" "")))) &amp; ""@zupee.in""
   ), 
"&amp;"   """")"),"")</f>
        <v/>
      </c>
      <c r="C768" s="10"/>
    </row>
    <row r="769" ht="15.75" customHeight="1">
      <c r="A769" s="12"/>
      <c r="B769" s="9" t="str">
        <f>IFERROR(__xludf.DUMMYFUNCTION("IF(A769&lt;&gt;"""", 
   IF(COUNTA(SPLIT(TRIM(A769), "" ""))=1, 
      LOWER(TRIM(A769)) &amp; ""@zupee.in"", 
      LOWER(INDEX(SPLIT(TRIM(A769), "" ""), 1)) &amp; ""."" &amp; LOWER(INDEX(SPLIT(TRIM(A769), "" ""), COUNTA(SPLIT(TRIM(A769), "" "")))) &amp; ""@zupee.in""
   ), 
"&amp;"   """")"),"")</f>
        <v/>
      </c>
      <c r="C769" s="10"/>
    </row>
    <row r="770" ht="15.75" customHeight="1">
      <c r="A770" s="12"/>
      <c r="B770" s="9" t="str">
        <f>IFERROR(__xludf.DUMMYFUNCTION("IF(A770&lt;&gt;"""", 
   IF(COUNTA(SPLIT(TRIM(A770), "" ""))=1, 
      LOWER(TRIM(A770)) &amp; ""@zupee.in"", 
      LOWER(INDEX(SPLIT(TRIM(A770), "" ""), 1)) &amp; ""."" &amp; LOWER(INDEX(SPLIT(TRIM(A770), "" ""), COUNTA(SPLIT(TRIM(A770), "" "")))) &amp; ""@zupee.in""
   ), 
"&amp;"   """")"),"")</f>
        <v/>
      </c>
      <c r="C770" s="10"/>
    </row>
    <row r="771" ht="15.75" customHeight="1">
      <c r="A771" s="12"/>
      <c r="B771" s="9" t="str">
        <f>IFERROR(__xludf.DUMMYFUNCTION("IF(A771&lt;&gt;"""", 
   IF(COUNTA(SPLIT(TRIM(A771), "" ""))=1, 
      LOWER(TRIM(A771)) &amp; ""@zupee.in"", 
      LOWER(INDEX(SPLIT(TRIM(A771), "" ""), 1)) &amp; ""."" &amp; LOWER(INDEX(SPLIT(TRIM(A771), "" ""), COUNTA(SPLIT(TRIM(A771), "" "")))) &amp; ""@zupee.in""
   ), 
"&amp;"   """")"),"")</f>
        <v/>
      </c>
      <c r="C771" s="10"/>
    </row>
    <row r="772" ht="15.75" customHeight="1">
      <c r="A772" s="12"/>
      <c r="B772" s="9" t="str">
        <f>IFERROR(__xludf.DUMMYFUNCTION("IF(A772&lt;&gt;"""", 
   IF(COUNTA(SPLIT(TRIM(A772), "" ""))=1, 
      LOWER(TRIM(A772)) &amp; ""@zupee.in"", 
      LOWER(INDEX(SPLIT(TRIM(A772), "" ""), 1)) &amp; ""."" &amp; LOWER(INDEX(SPLIT(TRIM(A772), "" ""), COUNTA(SPLIT(TRIM(A772), "" "")))) &amp; ""@zupee.in""
   ), 
"&amp;"   """")"),"")</f>
        <v/>
      </c>
      <c r="C772" s="10"/>
    </row>
    <row r="773" ht="15.75" customHeight="1">
      <c r="A773" s="12"/>
      <c r="B773" s="9" t="str">
        <f>IFERROR(__xludf.DUMMYFUNCTION("IF(A773&lt;&gt;"""", 
   IF(COUNTA(SPLIT(TRIM(A773), "" ""))=1, 
      LOWER(TRIM(A773)) &amp; ""@zupee.in"", 
      LOWER(INDEX(SPLIT(TRIM(A773), "" ""), 1)) &amp; ""."" &amp; LOWER(INDEX(SPLIT(TRIM(A773), "" ""), COUNTA(SPLIT(TRIM(A773), "" "")))) &amp; ""@zupee.in""
   ), 
"&amp;"   """")"),"")</f>
        <v/>
      </c>
      <c r="C773" s="10"/>
    </row>
    <row r="774" ht="15.75" customHeight="1">
      <c r="A774" s="12"/>
      <c r="B774" s="9" t="str">
        <f>IFERROR(__xludf.DUMMYFUNCTION("IF(A774&lt;&gt;"""", 
   IF(COUNTA(SPLIT(TRIM(A774), "" ""))=1, 
      LOWER(TRIM(A774)) &amp; ""@zupee.in"", 
      LOWER(INDEX(SPLIT(TRIM(A774), "" ""), 1)) &amp; ""."" &amp; LOWER(INDEX(SPLIT(TRIM(A774), "" ""), COUNTA(SPLIT(TRIM(A774), "" "")))) &amp; ""@zupee.in""
   ), 
"&amp;"   """")"),"")</f>
        <v/>
      </c>
      <c r="C774" s="10"/>
    </row>
    <row r="775" ht="15.75" customHeight="1">
      <c r="A775" s="12"/>
      <c r="B775" s="9" t="str">
        <f>IFERROR(__xludf.DUMMYFUNCTION("IF(A775&lt;&gt;"""", 
   IF(COUNTA(SPLIT(TRIM(A775), "" ""))=1, 
      LOWER(TRIM(A775)) &amp; ""@zupee.in"", 
      LOWER(INDEX(SPLIT(TRIM(A775), "" ""), 1)) &amp; ""."" &amp; LOWER(INDEX(SPLIT(TRIM(A775), "" ""), COUNTA(SPLIT(TRIM(A775), "" "")))) &amp; ""@zupee.in""
   ), 
"&amp;"   """")"),"")</f>
        <v/>
      </c>
      <c r="C775" s="10"/>
    </row>
    <row r="776" ht="15.75" customHeight="1">
      <c r="A776" s="12"/>
      <c r="B776" s="9" t="str">
        <f>IFERROR(__xludf.DUMMYFUNCTION("IF(A776&lt;&gt;"""", 
   IF(COUNTA(SPLIT(TRIM(A776), "" ""))=1, 
      LOWER(TRIM(A776)) &amp; ""@zupee.in"", 
      LOWER(INDEX(SPLIT(TRIM(A776), "" ""), 1)) &amp; ""."" &amp; LOWER(INDEX(SPLIT(TRIM(A776), "" ""), COUNTA(SPLIT(TRIM(A776), "" "")))) &amp; ""@zupee.in""
   ), 
"&amp;"   """")"),"")</f>
        <v/>
      </c>
      <c r="C776" s="10"/>
    </row>
    <row r="777" ht="15.75" customHeight="1">
      <c r="A777" s="12"/>
      <c r="B777" s="9" t="str">
        <f>IFERROR(__xludf.DUMMYFUNCTION("IF(A777&lt;&gt;"""", 
   IF(COUNTA(SPLIT(TRIM(A777), "" ""))=1, 
      LOWER(TRIM(A777)) &amp; ""@zupee.in"", 
      LOWER(INDEX(SPLIT(TRIM(A777), "" ""), 1)) &amp; ""."" &amp; LOWER(INDEX(SPLIT(TRIM(A777), "" ""), COUNTA(SPLIT(TRIM(A777), "" "")))) &amp; ""@zupee.in""
   ), 
"&amp;"   """")"),"")</f>
        <v/>
      </c>
      <c r="C777" s="10"/>
    </row>
    <row r="778" ht="15.75" customHeight="1">
      <c r="A778" s="12"/>
      <c r="B778" s="9" t="str">
        <f>IFERROR(__xludf.DUMMYFUNCTION("IF(A778&lt;&gt;"""", 
   IF(COUNTA(SPLIT(TRIM(A778), "" ""))=1, 
      LOWER(TRIM(A778)) &amp; ""@zupee.in"", 
      LOWER(INDEX(SPLIT(TRIM(A778), "" ""), 1)) &amp; ""."" &amp; LOWER(INDEX(SPLIT(TRIM(A778), "" ""), COUNTA(SPLIT(TRIM(A778), "" "")))) &amp; ""@zupee.in""
   ), 
"&amp;"   """")"),"")</f>
        <v/>
      </c>
      <c r="C778" s="10"/>
    </row>
    <row r="779" ht="15.75" customHeight="1">
      <c r="A779" s="12"/>
      <c r="B779" s="9" t="str">
        <f>IFERROR(__xludf.DUMMYFUNCTION("IF(A779&lt;&gt;"""", 
   IF(COUNTA(SPLIT(TRIM(A779), "" ""))=1, 
      LOWER(TRIM(A779)) &amp; ""@zupee.in"", 
      LOWER(INDEX(SPLIT(TRIM(A779), "" ""), 1)) &amp; ""."" &amp; LOWER(INDEX(SPLIT(TRIM(A779), "" ""), COUNTA(SPLIT(TRIM(A779), "" "")))) &amp; ""@zupee.in""
   ), 
"&amp;"   """")"),"")</f>
        <v/>
      </c>
      <c r="C779" s="10"/>
    </row>
    <row r="780" ht="15.75" customHeight="1">
      <c r="A780" s="12"/>
      <c r="B780" s="9" t="str">
        <f>IFERROR(__xludf.DUMMYFUNCTION("IF(A780&lt;&gt;"""", 
   IF(COUNTA(SPLIT(TRIM(A780), "" ""))=1, 
      LOWER(TRIM(A780)) &amp; ""@zupee.in"", 
      LOWER(INDEX(SPLIT(TRIM(A780), "" ""), 1)) &amp; ""."" &amp; LOWER(INDEX(SPLIT(TRIM(A780), "" ""), COUNTA(SPLIT(TRIM(A780), "" "")))) &amp; ""@zupee.in""
   ), 
"&amp;"   """")"),"")</f>
        <v/>
      </c>
      <c r="C780" s="10"/>
    </row>
    <row r="781" ht="15.75" customHeight="1">
      <c r="A781" s="12"/>
      <c r="B781" s="9" t="str">
        <f>IFERROR(__xludf.DUMMYFUNCTION("IF(A781&lt;&gt;"""", 
   IF(COUNTA(SPLIT(TRIM(A781), "" ""))=1, 
      LOWER(TRIM(A781)) &amp; ""@zupee.in"", 
      LOWER(INDEX(SPLIT(TRIM(A781), "" ""), 1)) &amp; ""."" &amp; LOWER(INDEX(SPLIT(TRIM(A781), "" ""), COUNTA(SPLIT(TRIM(A781), "" "")))) &amp; ""@zupee.in""
   ), 
"&amp;"   """")"),"")</f>
        <v/>
      </c>
      <c r="C781" s="10"/>
    </row>
    <row r="782" ht="15.75" customHeight="1">
      <c r="A782" s="12"/>
      <c r="B782" s="9" t="str">
        <f>IFERROR(__xludf.DUMMYFUNCTION("IF(A782&lt;&gt;"""", 
   IF(COUNTA(SPLIT(TRIM(A782), "" ""))=1, 
      LOWER(TRIM(A782)) &amp; ""@zupee.in"", 
      LOWER(INDEX(SPLIT(TRIM(A782), "" ""), 1)) &amp; ""."" &amp; LOWER(INDEX(SPLIT(TRIM(A782), "" ""), COUNTA(SPLIT(TRIM(A782), "" "")))) &amp; ""@zupee.in""
   ), 
"&amp;"   """")"),"")</f>
        <v/>
      </c>
      <c r="C782" s="10"/>
    </row>
    <row r="783" ht="15.75" customHeight="1">
      <c r="A783" s="12"/>
      <c r="B783" s="9" t="str">
        <f>IFERROR(__xludf.DUMMYFUNCTION("IF(A783&lt;&gt;"""", 
   IF(COUNTA(SPLIT(TRIM(A783), "" ""))=1, 
      LOWER(TRIM(A783)) &amp; ""@zupee.in"", 
      LOWER(INDEX(SPLIT(TRIM(A783), "" ""), 1)) &amp; ""."" &amp; LOWER(INDEX(SPLIT(TRIM(A783), "" ""), COUNTA(SPLIT(TRIM(A783), "" "")))) &amp; ""@zupee.in""
   ), 
"&amp;"   """")"),"")</f>
        <v/>
      </c>
      <c r="C783" s="10"/>
    </row>
    <row r="784" ht="15.75" customHeight="1">
      <c r="A784" s="12"/>
      <c r="B784" s="9" t="str">
        <f>IFERROR(__xludf.DUMMYFUNCTION("IF(A784&lt;&gt;"""", 
   IF(COUNTA(SPLIT(TRIM(A784), "" ""))=1, 
      LOWER(TRIM(A784)) &amp; ""@zupee.in"", 
      LOWER(INDEX(SPLIT(TRIM(A784), "" ""), 1)) &amp; ""."" &amp; LOWER(INDEX(SPLIT(TRIM(A784), "" ""), COUNTA(SPLIT(TRIM(A784), "" "")))) &amp; ""@zupee.in""
   ), 
"&amp;"   """")"),"")</f>
        <v/>
      </c>
      <c r="C784" s="10"/>
    </row>
    <row r="785" ht="15.75" customHeight="1">
      <c r="A785" s="12"/>
      <c r="B785" s="9" t="str">
        <f>IFERROR(__xludf.DUMMYFUNCTION("IF(A785&lt;&gt;"""", 
   IF(COUNTA(SPLIT(TRIM(A785), "" ""))=1, 
      LOWER(TRIM(A785)) &amp; ""@zupee.in"", 
      LOWER(INDEX(SPLIT(TRIM(A785), "" ""), 1)) &amp; ""."" &amp; LOWER(INDEX(SPLIT(TRIM(A785), "" ""), COUNTA(SPLIT(TRIM(A785), "" "")))) &amp; ""@zupee.in""
   ), 
"&amp;"   """")"),"")</f>
        <v/>
      </c>
      <c r="C785" s="10"/>
    </row>
    <row r="786" ht="15.75" customHeight="1">
      <c r="A786" s="12"/>
      <c r="B786" s="9" t="str">
        <f>IFERROR(__xludf.DUMMYFUNCTION("IF(A786&lt;&gt;"""", 
   IF(COUNTA(SPLIT(TRIM(A786), "" ""))=1, 
      LOWER(TRIM(A786)) &amp; ""@zupee.in"", 
      LOWER(INDEX(SPLIT(TRIM(A786), "" ""), 1)) &amp; ""."" &amp; LOWER(INDEX(SPLIT(TRIM(A786), "" ""), COUNTA(SPLIT(TRIM(A786), "" "")))) &amp; ""@zupee.in""
   ), 
"&amp;"   """")"),"")</f>
        <v/>
      </c>
      <c r="C786" s="10"/>
    </row>
    <row r="787" ht="15.75" customHeight="1">
      <c r="A787" s="12"/>
      <c r="B787" s="9" t="str">
        <f>IFERROR(__xludf.DUMMYFUNCTION("IF(A787&lt;&gt;"""", 
   IF(COUNTA(SPLIT(TRIM(A787), "" ""))=1, 
      LOWER(TRIM(A787)) &amp; ""@zupee.in"", 
      LOWER(INDEX(SPLIT(TRIM(A787), "" ""), 1)) &amp; ""."" &amp; LOWER(INDEX(SPLIT(TRIM(A787), "" ""), COUNTA(SPLIT(TRIM(A787), "" "")))) &amp; ""@zupee.in""
   ), 
"&amp;"   """")"),"")</f>
        <v/>
      </c>
      <c r="C787" s="10"/>
    </row>
    <row r="788" ht="15.75" customHeight="1">
      <c r="A788" s="12"/>
      <c r="B788" s="9" t="str">
        <f>IFERROR(__xludf.DUMMYFUNCTION("IF(A788&lt;&gt;"""", 
   IF(COUNTA(SPLIT(TRIM(A788), "" ""))=1, 
      LOWER(TRIM(A788)) &amp; ""@zupee.in"", 
      LOWER(INDEX(SPLIT(TRIM(A788), "" ""), 1)) &amp; ""."" &amp; LOWER(INDEX(SPLIT(TRIM(A788), "" ""), COUNTA(SPLIT(TRIM(A788), "" "")))) &amp; ""@zupee.in""
   ), 
"&amp;"   """")"),"")</f>
        <v/>
      </c>
      <c r="C788" s="10"/>
    </row>
    <row r="789" ht="15.75" customHeight="1">
      <c r="A789" s="12"/>
      <c r="B789" s="9" t="str">
        <f>IFERROR(__xludf.DUMMYFUNCTION("IF(A789&lt;&gt;"""", 
   IF(COUNTA(SPLIT(TRIM(A789), "" ""))=1, 
      LOWER(TRIM(A789)) &amp; ""@zupee.in"", 
      LOWER(INDEX(SPLIT(TRIM(A789), "" ""), 1)) &amp; ""."" &amp; LOWER(INDEX(SPLIT(TRIM(A789), "" ""), COUNTA(SPLIT(TRIM(A789), "" "")))) &amp; ""@zupee.in""
   ), 
"&amp;"   """")"),"")</f>
        <v/>
      </c>
      <c r="C789" s="10"/>
    </row>
    <row r="790" ht="15.75" customHeight="1">
      <c r="A790" s="12"/>
      <c r="B790" s="9" t="str">
        <f>IFERROR(__xludf.DUMMYFUNCTION("IF(A790&lt;&gt;"""", 
   IF(COUNTA(SPLIT(TRIM(A790), "" ""))=1, 
      LOWER(TRIM(A790)) &amp; ""@zupee.in"", 
      LOWER(INDEX(SPLIT(TRIM(A790), "" ""), 1)) &amp; ""."" &amp; LOWER(INDEX(SPLIT(TRIM(A790), "" ""), COUNTA(SPLIT(TRIM(A790), "" "")))) &amp; ""@zupee.in""
   ), 
"&amp;"   """")"),"")</f>
        <v/>
      </c>
      <c r="C790" s="10"/>
    </row>
    <row r="791" ht="15.75" customHeight="1">
      <c r="A791" s="12"/>
      <c r="B791" s="9" t="str">
        <f>IFERROR(__xludf.DUMMYFUNCTION("IF(A791&lt;&gt;"""", 
   IF(COUNTA(SPLIT(TRIM(A791), "" ""))=1, 
      LOWER(TRIM(A791)) &amp; ""@zupee.in"", 
      LOWER(INDEX(SPLIT(TRIM(A791), "" ""), 1)) &amp; ""."" &amp; LOWER(INDEX(SPLIT(TRIM(A791), "" ""), COUNTA(SPLIT(TRIM(A791), "" "")))) &amp; ""@zupee.in""
   ), 
"&amp;"   """")"),"")</f>
        <v/>
      </c>
      <c r="C791" s="10"/>
    </row>
    <row r="792" ht="15.75" customHeight="1">
      <c r="A792" s="12"/>
      <c r="B792" s="9" t="str">
        <f>IFERROR(__xludf.DUMMYFUNCTION("IF(A792&lt;&gt;"""", 
   IF(COUNTA(SPLIT(TRIM(A792), "" ""))=1, 
      LOWER(TRIM(A792)) &amp; ""@zupee.in"", 
      LOWER(INDEX(SPLIT(TRIM(A792), "" ""), 1)) &amp; ""."" &amp; LOWER(INDEX(SPLIT(TRIM(A792), "" ""), COUNTA(SPLIT(TRIM(A792), "" "")))) &amp; ""@zupee.in""
   ), 
"&amp;"   """")"),"")</f>
        <v/>
      </c>
      <c r="C792" s="10"/>
    </row>
    <row r="793" ht="15.75" customHeight="1">
      <c r="A793" s="12"/>
      <c r="B793" s="9" t="str">
        <f>IFERROR(__xludf.DUMMYFUNCTION("IF(A793&lt;&gt;"""", 
   IF(COUNTA(SPLIT(TRIM(A793), "" ""))=1, 
      LOWER(TRIM(A793)) &amp; ""@zupee.in"", 
      LOWER(INDEX(SPLIT(TRIM(A793), "" ""), 1)) &amp; ""."" &amp; LOWER(INDEX(SPLIT(TRIM(A793), "" ""), COUNTA(SPLIT(TRIM(A793), "" "")))) &amp; ""@zupee.in""
   ), 
"&amp;"   """")"),"")</f>
        <v/>
      </c>
      <c r="C793" s="10"/>
    </row>
    <row r="794" ht="15.75" customHeight="1">
      <c r="A794" s="12"/>
      <c r="B794" s="9" t="str">
        <f>IFERROR(__xludf.DUMMYFUNCTION("IF(A794&lt;&gt;"""", 
   IF(COUNTA(SPLIT(TRIM(A794), "" ""))=1, 
      LOWER(TRIM(A794)) &amp; ""@zupee.in"", 
      LOWER(INDEX(SPLIT(TRIM(A794), "" ""), 1)) &amp; ""."" &amp; LOWER(INDEX(SPLIT(TRIM(A794), "" ""), COUNTA(SPLIT(TRIM(A794), "" "")))) &amp; ""@zupee.in""
   ), 
"&amp;"   """")"),"")</f>
        <v/>
      </c>
      <c r="C794" s="10"/>
    </row>
    <row r="795" ht="15.75" customHeight="1">
      <c r="A795" s="12"/>
      <c r="B795" s="9" t="str">
        <f>IFERROR(__xludf.DUMMYFUNCTION("IF(A795&lt;&gt;"""", 
   IF(COUNTA(SPLIT(TRIM(A795), "" ""))=1, 
      LOWER(TRIM(A795)) &amp; ""@zupee.in"", 
      LOWER(INDEX(SPLIT(TRIM(A795), "" ""), 1)) &amp; ""."" &amp; LOWER(INDEX(SPLIT(TRIM(A795), "" ""), COUNTA(SPLIT(TRIM(A795), "" "")))) &amp; ""@zupee.in""
   ), 
"&amp;"   """")"),"")</f>
        <v/>
      </c>
      <c r="C795" s="10"/>
    </row>
    <row r="796" ht="15.75" customHeight="1">
      <c r="A796" s="12"/>
      <c r="B796" s="9" t="str">
        <f>IFERROR(__xludf.DUMMYFUNCTION("IF(A796&lt;&gt;"""", 
   IF(COUNTA(SPLIT(TRIM(A796), "" ""))=1, 
      LOWER(TRIM(A796)) &amp; ""@zupee.in"", 
      LOWER(INDEX(SPLIT(TRIM(A796), "" ""), 1)) &amp; ""."" &amp; LOWER(INDEX(SPLIT(TRIM(A796), "" ""), COUNTA(SPLIT(TRIM(A796), "" "")))) &amp; ""@zupee.in""
   ), 
"&amp;"   """")"),"")</f>
        <v/>
      </c>
      <c r="C796" s="10"/>
    </row>
    <row r="797" ht="15.75" customHeight="1">
      <c r="A797" s="12"/>
      <c r="B797" s="9" t="str">
        <f>IFERROR(__xludf.DUMMYFUNCTION("IF(A797&lt;&gt;"""", 
   IF(COUNTA(SPLIT(TRIM(A797), "" ""))=1, 
      LOWER(TRIM(A797)) &amp; ""@zupee.in"", 
      LOWER(INDEX(SPLIT(TRIM(A797), "" ""), 1)) &amp; ""."" &amp; LOWER(INDEX(SPLIT(TRIM(A797), "" ""), COUNTA(SPLIT(TRIM(A797), "" "")))) &amp; ""@zupee.in""
   ), 
"&amp;"   """")"),"")</f>
        <v/>
      </c>
      <c r="C797" s="10"/>
    </row>
    <row r="798" ht="15.75" customHeight="1">
      <c r="A798" s="12"/>
      <c r="B798" s="9" t="str">
        <f>IFERROR(__xludf.DUMMYFUNCTION("IF(A798&lt;&gt;"""", 
   IF(COUNTA(SPLIT(TRIM(A798), "" ""))=1, 
      LOWER(TRIM(A798)) &amp; ""@zupee.in"", 
      LOWER(INDEX(SPLIT(TRIM(A798), "" ""), 1)) &amp; ""."" &amp; LOWER(INDEX(SPLIT(TRIM(A798), "" ""), COUNTA(SPLIT(TRIM(A798), "" "")))) &amp; ""@zupee.in""
   ), 
"&amp;"   """")"),"")</f>
        <v/>
      </c>
      <c r="C798" s="10"/>
    </row>
    <row r="799" ht="15.75" customHeight="1">
      <c r="A799" s="12"/>
      <c r="B799" s="9" t="str">
        <f>IFERROR(__xludf.DUMMYFUNCTION("IF(A799&lt;&gt;"""", 
   IF(COUNTA(SPLIT(TRIM(A799), "" ""))=1, 
      LOWER(TRIM(A799)) &amp; ""@zupee.in"", 
      LOWER(INDEX(SPLIT(TRIM(A799), "" ""), 1)) &amp; ""."" &amp; LOWER(INDEX(SPLIT(TRIM(A799), "" ""), COUNTA(SPLIT(TRIM(A799), "" "")))) &amp; ""@zupee.in""
   ), 
"&amp;"   """")"),"")</f>
        <v/>
      </c>
      <c r="C799" s="10"/>
    </row>
    <row r="800" ht="15.75" customHeight="1">
      <c r="A800" s="12"/>
      <c r="B800" s="9" t="str">
        <f>IFERROR(__xludf.DUMMYFUNCTION("IF(A800&lt;&gt;"""", 
   IF(COUNTA(SPLIT(TRIM(A800), "" ""))=1, 
      LOWER(TRIM(A800)) &amp; ""@zupee.in"", 
      LOWER(INDEX(SPLIT(TRIM(A800), "" ""), 1)) &amp; ""."" &amp; LOWER(INDEX(SPLIT(TRIM(A800), "" ""), COUNTA(SPLIT(TRIM(A800), "" "")))) &amp; ""@zupee.in""
   ), 
"&amp;"   """")"),"")</f>
        <v/>
      </c>
      <c r="C800" s="10"/>
    </row>
    <row r="801" ht="15.75" customHeight="1">
      <c r="A801" s="12"/>
      <c r="B801" s="9" t="str">
        <f>IFERROR(__xludf.DUMMYFUNCTION("IF(A801&lt;&gt;"""", 
   IF(COUNTA(SPLIT(TRIM(A801), "" ""))=1, 
      LOWER(TRIM(A801)) &amp; ""@zupee.in"", 
      LOWER(INDEX(SPLIT(TRIM(A801), "" ""), 1)) &amp; ""."" &amp; LOWER(INDEX(SPLIT(TRIM(A801), "" ""), COUNTA(SPLIT(TRIM(A801), "" "")))) &amp; ""@zupee.in""
   ), 
"&amp;"   """")"),"")</f>
        <v/>
      </c>
      <c r="C801" s="10"/>
    </row>
    <row r="802" ht="15.75" customHeight="1">
      <c r="A802" s="12"/>
      <c r="B802" s="9" t="str">
        <f>IFERROR(__xludf.DUMMYFUNCTION("IF(A802&lt;&gt;"""", 
   IF(COUNTA(SPLIT(TRIM(A802), "" ""))=1, 
      LOWER(TRIM(A802)) &amp; ""@zupee.in"", 
      LOWER(INDEX(SPLIT(TRIM(A802), "" ""), 1)) &amp; ""."" &amp; LOWER(INDEX(SPLIT(TRIM(A802), "" ""), COUNTA(SPLIT(TRIM(A802), "" "")))) &amp; ""@zupee.in""
   ), 
"&amp;"   """")"),"")</f>
        <v/>
      </c>
      <c r="C802" s="10"/>
    </row>
    <row r="803" ht="15.75" customHeight="1">
      <c r="A803" s="12"/>
      <c r="B803" s="9" t="str">
        <f>IFERROR(__xludf.DUMMYFUNCTION("IF(A803&lt;&gt;"""", 
   IF(COUNTA(SPLIT(TRIM(A803), "" ""))=1, 
      LOWER(TRIM(A803)) &amp; ""@zupee.in"", 
      LOWER(INDEX(SPLIT(TRIM(A803), "" ""), 1)) &amp; ""."" &amp; LOWER(INDEX(SPLIT(TRIM(A803), "" ""), COUNTA(SPLIT(TRIM(A803), "" "")))) &amp; ""@zupee.in""
   ), 
"&amp;"   """")"),"")</f>
        <v/>
      </c>
      <c r="C803" s="10"/>
    </row>
    <row r="804" ht="15.75" customHeight="1">
      <c r="A804" s="12"/>
      <c r="B804" s="9" t="str">
        <f>IFERROR(__xludf.DUMMYFUNCTION("IF(A804&lt;&gt;"""", 
   IF(COUNTA(SPLIT(TRIM(A804), "" ""))=1, 
      LOWER(TRIM(A804)) &amp; ""@zupee.in"", 
      LOWER(INDEX(SPLIT(TRIM(A804), "" ""), 1)) &amp; ""."" &amp; LOWER(INDEX(SPLIT(TRIM(A804), "" ""), COUNTA(SPLIT(TRIM(A804), "" "")))) &amp; ""@zupee.in""
   ), 
"&amp;"   """")"),"")</f>
        <v/>
      </c>
      <c r="C804" s="10"/>
    </row>
    <row r="805" ht="15.75" customHeight="1">
      <c r="A805" s="12"/>
      <c r="B805" s="9" t="str">
        <f>IFERROR(__xludf.DUMMYFUNCTION("IF(A805&lt;&gt;"""", 
   IF(COUNTA(SPLIT(TRIM(A805), "" ""))=1, 
      LOWER(TRIM(A805)) &amp; ""@zupee.in"", 
      LOWER(INDEX(SPLIT(TRIM(A805), "" ""), 1)) &amp; ""."" &amp; LOWER(INDEX(SPLIT(TRIM(A805), "" ""), COUNTA(SPLIT(TRIM(A805), "" "")))) &amp; ""@zupee.in""
   ), 
"&amp;"   """")"),"")</f>
        <v/>
      </c>
      <c r="C805" s="10"/>
    </row>
    <row r="806" ht="15.75" customHeight="1">
      <c r="A806" s="12"/>
      <c r="B806" s="9" t="str">
        <f>IFERROR(__xludf.DUMMYFUNCTION("IF(A806&lt;&gt;"""", 
   IF(COUNTA(SPLIT(TRIM(A806), "" ""))=1, 
      LOWER(TRIM(A806)) &amp; ""@zupee.in"", 
      LOWER(INDEX(SPLIT(TRIM(A806), "" ""), 1)) &amp; ""."" &amp; LOWER(INDEX(SPLIT(TRIM(A806), "" ""), COUNTA(SPLIT(TRIM(A806), "" "")))) &amp; ""@zupee.in""
   ), 
"&amp;"   """")"),"")</f>
        <v/>
      </c>
      <c r="C806" s="10"/>
    </row>
    <row r="807" ht="15.75" customHeight="1">
      <c r="A807" s="12"/>
      <c r="B807" s="9" t="str">
        <f>IFERROR(__xludf.DUMMYFUNCTION("IF(A807&lt;&gt;"""", 
   IF(COUNTA(SPLIT(TRIM(A807), "" ""))=1, 
      LOWER(TRIM(A807)) &amp; ""@zupee.in"", 
      LOWER(INDEX(SPLIT(TRIM(A807), "" ""), 1)) &amp; ""."" &amp; LOWER(INDEX(SPLIT(TRIM(A807), "" ""), COUNTA(SPLIT(TRIM(A807), "" "")))) &amp; ""@zupee.in""
   ), 
"&amp;"   """")"),"")</f>
        <v/>
      </c>
      <c r="C807" s="10"/>
    </row>
    <row r="808" ht="15.75" customHeight="1">
      <c r="A808" s="12"/>
      <c r="B808" s="9" t="str">
        <f>IFERROR(__xludf.DUMMYFUNCTION("IF(A808&lt;&gt;"""", 
   IF(COUNTA(SPLIT(TRIM(A808), "" ""))=1, 
      LOWER(TRIM(A808)) &amp; ""@zupee.in"", 
      LOWER(INDEX(SPLIT(TRIM(A808), "" ""), 1)) &amp; ""."" &amp; LOWER(INDEX(SPLIT(TRIM(A808), "" ""), COUNTA(SPLIT(TRIM(A808), "" "")))) &amp; ""@zupee.in""
   ), 
"&amp;"   """")"),"")</f>
        <v/>
      </c>
      <c r="C808" s="10"/>
    </row>
    <row r="809" ht="15.75" customHeight="1">
      <c r="A809" s="12"/>
      <c r="B809" s="9" t="str">
        <f>IFERROR(__xludf.DUMMYFUNCTION("IF(A809&lt;&gt;"""", 
   IF(COUNTA(SPLIT(TRIM(A809), "" ""))=1, 
      LOWER(TRIM(A809)) &amp; ""@zupee.in"", 
      LOWER(INDEX(SPLIT(TRIM(A809), "" ""), 1)) &amp; ""."" &amp; LOWER(INDEX(SPLIT(TRIM(A809), "" ""), COUNTA(SPLIT(TRIM(A809), "" "")))) &amp; ""@zupee.in""
   ), 
"&amp;"   """")"),"")</f>
        <v/>
      </c>
      <c r="C809" s="10"/>
    </row>
    <row r="810" ht="15.75" customHeight="1">
      <c r="A810" s="12"/>
      <c r="B810" s="9" t="str">
        <f>IFERROR(__xludf.DUMMYFUNCTION("IF(A810&lt;&gt;"""", 
   IF(COUNTA(SPLIT(TRIM(A810), "" ""))=1, 
      LOWER(TRIM(A810)) &amp; ""@zupee.in"", 
      LOWER(INDEX(SPLIT(TRIM(A810), "" ""), 1)) &amp; ""."" &amp; LOWER(INDEX(SPLIT(TRIM(A810), "" ""), COUNTA(SPLIT(TRIM(A810), "" "")))) &amp; ""@zupee.in""
   ), 
"&amp;"   """")"),"")</f>
        <v/>
      </c>
      <c r="C810" s="10"/>
    </row>
    <row r="811" ht="15.75" customHeight="1">
      <c r="A811" s="12"/>
      <c r="B811" s="9" t="str">
        <f>IFERROR(__xludf.DUMMYFUNCTION("IF(A811&lt;&gt;"""", 
   IF(COUNTA(SPLIT(TRIM(A811), "" ""))=1, 
      LOWER(TRIM(A811)) &amp; ""@zupee.in"", 
      LOWER(INDEX(SPLIT(TRIM(A811), "" ""), 1)) &amp; ""."" &amp; LOWER(INDEX(SPLIT(TRIM(A811), "" ""), COUNTA(SPLIT(TRIM(A811), "" "")))) &amp; ""@zupee.in""
   ), 
"&amp;"   """")"),"")</f>
        <v/>
      </c>
      <c r="C811" s="10"/>
    </row>
    <row r="812" ht="15.75" customHeight="1">
      <c r="A812" s="12"/>
      <c r="B812" s="9" t="str">
        <f>IFERROR(__xludf.DUMMYFUNCTION("IF(A812&lt;&gt;"""", 
   IF(COUNTA(SPLIT(TRIM(A812), "" ""))=1, 
      LOWER(TRIM(A812)) &amp; ""@zupee.in"", 
      LOWER(INDEX(SPLIT(TRIM(A812), "" ""), 1)) &amp; ""."" &amp; LOWER(INDEX(SPLIT(TRIM(A812), "" ""), COUNTA(SPLIT(TRIM(A812), "" "")))) &amp; ""@zupee.in""
   ), 
"&amp;"   """")"),"")</f>
        <v/>
      </c>
      <c r="C812" s="10"/>
    </row>
    <row r="813" ht="15.75" customHeight="1">
      <c r="A813" s="12"/>
      <c r="B813" s="9" t="str">
        <f>IFERROR(__xludf.DUMMYFUNCTION("IF(A813&lt;&gt;"""", 
   IF(COUNTA(SPLIT(TRIM(A813), "" ""))=1, 
      LOWER(TRIM(A813)) &amp; ""@zupee.in"", 
      LOWER(INDEX(SPLIT(TRIM(A813), "" ""), 1)) &amp; ""."" &amp; LOWER(INDEX(SPLIT(TRIM(A813), "" ""), COUNTA(SPLIT(TRIM(A813), "" "")))) &amp; ""@zupee.in""
   ), 
"&amp;"   """")"),"")</f>
        <v/>
      </c>
      <c r="C813" s="10"/>
    </row>
    <row r="814" ht="15.75" customHeight="1">
      <c r="A814" s="12"/>
      <c r="B814" s="9" t="str">
        <f>IFERROR(__xludf.DUMMYFUNCTION("IF(A814&lt;&gt;"""", 
   IF(COUNTA(SPLIT(TRIM(A814), "" ""))=1, 
      LOWER(TRIM(A814)) &amp; ""@zupee.in"", 
      LOWER(INDEX(SPLIT(TRIM(A814), "" ""), 1)) &amp; ""."" &amp; LOWER(INDEX(SPLIT(TRIM(A814), "" ""), COUNTA(SPLIT(TRIM(A814), "" "")))) &amp; ""@zupee.in""
   ), 
"&amp;"   """")"),"")</f>
        <v/>
      </c>
      <c r="C814" s="10"/>
    </row>
    <row r="815" ht="15.75" customHeight="1">
      <c r="A815" s="12"/>
      <c r="B815" s="9" t="str">
        <f>IFERROR(__xludf.DUMMYFUNCTION("IF(A815&lt;&gt;"""", 
   IF(COUNTA(SPLIT(TRIM(A815), "" ""))=1, 
      LOWER(TRIM(A815)) &amp; ""@zupee.in"", 
      LOWER(INDEX(SPLIT(TRIM(A815), "" ""), 1)) &amp; ""."" &amp; LOWER(INDEX(SPLIT(TRIM(A815), "" ""), COUNTA(SPLIT(TRIM(A815), "" "")))) &amp; ""@zupee.in""
   ), 
"&amp;"   """")"),"")</f>
        <v/>
      </c>
      <c r="C815" s="10"/>
    </row>
    <row r="816" ht="15.75" customHeight="1">
      <c r="A816" s="12"/>
      <c r="B816" s="9" t="str">
        <f>IFERROR(__xludf.DUMMYFUNCTION("IF(A816&lt;&gt;"""", 
   IF(COUNTA(SPLIT(TRIM(A816), "" ""))=1, 
      LOWER(TRIM(A816)) &amp; ""@zupee.in"", 
      LOWER(INDEX(SPLIT(TRIM(A816), "" ""), 1)) &amp; ""."" &amp; LOWER(INDEX(SPLIT(TRIM(A816), "" ""), COUNTA(SPLIT(TRIM(A816), "" "")))) &amp; ""@zupee.in""
   ), 
"&amp;"   """")"),"")</f>
        <v/>
      </c>
      <c r="C816" s="10"/>
    </row>
    <row r="817" ht="15.75" customHeight="1">
      <c r="A817" s="12"/>
      <c r="B817" s="9" t="str">
        <f>IFERROR(__xludf.DUMMYFUNCTION("IF(A817&lt;&gt;"""", 
   IF(COUNTA(SPLIT(TRIM(A817), "" ""))=1, 
      LOWER(TRIM(A817)) &amp; ""@zupee.in"", 
      LOWER(INDEX(SPLIT(TRIM(A817), "" ""), 1)) &amp; ""."" &amp; LOWER(INDEX(SPLIT(TRIM(A817), "" ""), COUNTA(SPLIT(TRIM(A817), "" "")))) &amp; ""@zupee.in""
   ), 
"&amp;"   """")"),"")</f>
        <v/>
      </c>
      <c r="C817" s="10"/>
    </row>
    <row r="818" ht="15.75" customHeight="1">
      <c r="A818" s="12"/>
      <c r="B818" s="9" t="str">
        <f>IFERROR(__xludf.DUMMYFUNCTION("IF(A818&lt;&gt;"""", 
   IF(COUNTA(SPLIT(TRIM(A818), "" ""))=1, 
      LOWER(TRIM(A818)) &amp; ""@zupee.in"", 
      LOWER(INDEX(SPLIT(TRIM(A818), "" ""), 1)) &amp; ""."" &amp; LOWER(INDEX(SPLIT(TRIM(A818), "" ""), COUNTA(SPLIT(TRIM(A818), "" "")))) &amp; ""@zupee.in""
   ), 
"&amp;"   """")"),"")</f>
        <v/>
      </c>
      <c r="C818" s="10"/>
    </row>
    <row r="819" ht="15.75" customHeight="1">
      <c r="A819" s="12"/>
      <c r="B819" s="9" t="str">
        <f>IFERROR(__xludf.DUMMYFUNCTION("IF(A819&lt;&gt;"""", 
   IF(COUNTA(SPLIT(TRIM(A819), "" ""))=1, 
      LOWER(TRIM(A819)) &amp; ""@zupee.in"", 
      LOWER(INDEX(SPLIT(TRIM(A819), "" ""), 1)) &amp; ""."" &amp; LOWER(INDEX(SPLIT(TRIM(A819), "" ""), COUNTA(SPLIT(TRIM(A819), "" "")))) &amp; ""@zupee.in""
   ), 
"&amp;"   """")"),"")</f>
        <v/>
      </c>
      <c r="C819" s="10"/>
    </row>
    <row r="820" ht="15.75" customHeight="1">
      <c r="A820" s="12"/>
      <c r="B820" s="9" t="str">
        <f>IFERROR(__xludf.DUMMYFUNCTION("IF(A820&lt;&gt;"""", 
   IF(COUNTA(SPLIT(TRIM(A820), "" ""))=1, 
      LOWER(TRIM(A820)) &amp; ""@zupee.in"", 
      LOWER(INDEX(SPLIT(TRIM(A820), "" ""), 1)) &amp; ""."" &amp; LOWER(INDEX(SPLIT(TRIM(A820), "" ""), COUNTA(SPLIT(TRIM(A820), "" "")))) &amp; ""@zupee.in""
   ), 
"&amp;"   """")"),"")</f>
        <v/>
      </c>
      <c r="C820" s="10"/>
    </row>
    <row r="821" ht="15.75" customHeight="1">
      <c r="A821" s="12"/>
      <c r="B821" s="9" t="str">
        <f>IFERROR(__xludf.DUMMYFUNCTION("IF(A821&lt;&gt;"""", 
   IF(COUNTA(SPLIT(TRIM(A821), "" ""))=1, 
      LOWER(TRIM(A821)) &amp; ""@zupee.in"", 
      LOWER(INDEX(SPLIT(TRIM(A821), "" ""), 1)) &amp; ""."" &amp; LOWER(INDEX(SPLIT(TRIM(A821), "" ""), COUNTA(SPLIT(TRIM(A821), "" "")))) &amp; ""@zupee.in""
   ), 
"&amp;"   """")"),"")</f>
        <v/>
      </c>
      <c r="C821" s="10"/>
    </row>
    <row r="822" ht="15.75" customHeight="1">
      <c r="A822" s="12"/>
      <c r="B822" s="9" t="str">
        <f>IFERROR(__xludf.DUMMYFUNCTION("IF(A822&lt;&gt;"""", 
   IF(COUNTA(SPLIT(TRIM(A822), "" ""))=1, 
      LOWER(TRIM(A822)) &amp; ""@zupee.in"", 
      LOWER(INDEX(SPLIT(TRIM(A822), "" ""), 1)) &amp; ""."" &amp; LOWER(INDEX(SPLIT(TRIM(A822), "" ""), COUNTA(SPLIT(TRIM(A822), "" "")))) &amp; ""@zupee.in""
   ), 
"&amp;"   """")"),"")</f>
        <v/>
      </c>
      <c r="C822" s="10"/>
    </row>
    <row r="823" ht="15.75" customHeight="1">
      <c r="A823" s="12"/>
      <c r="B823" s="9" t="str">
        <f>IFERROR(__xludf.DUMMYFUNCTION("IF(A823&lt;&gt;"""", 
   IF(COUNTA(SPLIT(TRIM(A823), "" ""))=1, 
      LOWER(TRIM(A823)) &amp; ""@zupee.in"", 
      LOWER(INDEX(SPLIT(TRIM(A823), "" ""), 1)) &amp; ""."" &amp; LOWER(INDEX(SPLIT(TRIM(A823), "" ""), COUNTA(SPLIT(TRIM(A823), "" "")))) &amp; ""@zupee.in""
   ), 
"&amp;"   """")"),"")</f>
        <v/>
      </c>
      <c r="C823" s="10"/>
    </row>
    <row r="824" ht="15.75" customHeight="1">
      <c r="A824" s="12"/>
      <c r="B824" s="9" t="str">
        <f>IFERROR(__xludf.DUMMYFUNCTION("IF(A824&lt;&gt;"""", 
   IF(COUNTA(SPLIT(TRIM(A824), "" ""))=1, 
      LOWER(TRIM(A824)) &amp; ""@zupee.in"", 
      LOWER(INDEX(SPLIT(TRIM(A824), "" ""), 1)) &amp; ""."" &amp; LOWER(INDEX(SPLIT(TRIM(A824), "" ""), COUNTA(SPLIT(TRIM(A824), "" "")))) &amp; ""@zupee.in""
   ), 
"&amp;"   """")"),"")</f>
        <v/>
      </c>
      <c r="C824" s="10"/>
    </row>
    <row r="825" ht="15.75" customHeight="1">
      <c r="A825" s="12"/>
      <c r="B825" s="9" t="str">
        <f>IFERROR(__xludf.DUMMYFUNCTION("IF(A825&lt;&gt;"""", 
   IF(COUNTA(SPLIT(TRIM(A825), "" ""))=1, 
      LOWER(TRIM(A825)) &amp; ""@zupee.in"", 
      LOWER(INDEX(SPLIT(TRIM(A825), "" ""), 1)) &amp; ""."" &amp; LOWER(INDEX(SPLIT(TRIM(A825), "" ""), COUNTA(SPLIT(TRIM(A825), "" "")))) &amp; ""@zupee.in""
   ), 
"&amp;"   """")"),"")</f>
        <v/>
      </c>
      <c r="C825" s="10"/>
    </row>
    <row r="826" ht="15.75" customHeight="1">
      <c r="A826" s="12"/>
      <c r="B826" s="9" t="str">
        <f>IFERROR(__xludf.DUMMYFUNCTION("IF(A826&lt;&gt;"""", 
   IF(COUNTA(SPLIT(TRIM(A826), "" ""))=1, 
      LOWER(TRIM(A826)) &amp; ""@zupee.in"", 
      LOWER(INDEX(SPLIT(TRIM(A826), "" ""), 1)) &amp; ""."" &amp; LOWER(INDEX(SPLIT(TRIM(A826), "" ""), COUNTA(SPLIT(TRIM(A826), "" "")))) &amp; ""@zupee.in""
   ), 
"&amp;"   """")"),"")</f>
        <v/>
      </c>
      <c r="C826" s="10"/>
    </row>
    <row r="827" ht="15.75" customHeight="1">
      <c r="A827" s="12"/>
      <c r="B827" s="9" t="str">
        <f>IFERROR(__xludf.DUMMYFUNCTION("IF(A827&lt;&gt;"""", 
   IF(COUNTA(SPLIT(TRIM(A827), "" ""))=1, 
      LOWER(TRIM(A827)) &amp; ""@zupee.in"", 
      LOWER(INDEX(SPLIT(TRIM(A827), "" ""), 1)) &amp; ""."" &amp; LOWER(INDEX(SPLIT(TRIM(A827), "" ""), COUNTA(SPLIT(TRIM(A827), "" "")))) &amp; ""@zupee.in""
   ), 
"&amp;"   """")"),"")</f>
        <v/>
      </c>
      <c r="C827" s="10"/>
    </row>
    <row r="828" ht="15.75" customHeight="1">
      <c r="A828" s="12"/>
      <c r="B828" s="9" t="str">
        <f>IFERROR(__xludf.DUMMYFUNCTION("IF(A828&lt;&gt;"""", 
   IF(COUNTA(SPLIT(TRIM(A828), "" ""))=1, 
      LOWER(TRIM(A828)) &amp; ""@zupee.in"", 
      LOWER(INDEX(SPLIT(TRIM(A828), "" ""), 1)) &amp; ""."" &amp; LOWER(INDEX(SPLIT(TRIM(A828), "" ""), COUNTA(SPLIT(TRIM(A828), "" "")))) &amp; ""@zupee.in""
   ), 
"&amp;"   """")"),"")</f>
        <v/>
      </c>
      <c r="C828" s="10"/>
    </row>
    <row r="829" ht="15.75" customHeight="1">
      <c r="A829" s="12"/>
      <c r="B829" s="9" t="str">
        <f>IFERROR(__xludf.DUMMYFUNCTION("IF(A829&lt;&gt;"""", 
   IF(COUNTA(SPLIT(TRIM(A829), "" ""))=1, 
      LOWER(TRIM(A829)) &amp; ""@zupee.in"", 
      LOWER(INDEX(SPLIT(TRIM(A829), "" ""), 1)) &amp; ""."" &amp; LOWER(INDEX(SPLIT(TRIM(A829), "" ""), COUNTA(SPLIT(TRIM(A829), "" "")))) &amp; ""@zupee.in""
   ), 
"&amp;"   """")"),"")</f>
        <v/>
      </c>
      <c r="C829" s="10"/>
    </row>
    <row r="830" ht="15.75" customHeight="1">
      <c r="A830" s="12"/>
      <c r="B830" s="9" t="str">
        <f>IFERROR(__xludf.DUMMYFUNCTION("IF(A830&lt;&gt;"""", 
   IF(COUNTA(SPLIT(TRIM(A830), "" ""))=1, 
      LOWER(TRIM(A830)) &amp; ""@zupee.in"", 
      LOWER(INDEX(SPLIT(TRIM(A830), "" ""), 1)) &amp; ""."" &amp; LOWER(INDEX(SPLIT(TRIM(A830), "" ""), COUNTA(SPLIT(TRIM(A830), "" "")))) &amp; ""@zupee.in""
   ), 
"&amp;"   """")"),"")</f>
        <v/>
      </c>
      <c r="C830" s="10"/>
    </row>
    <row r="831" ht="15.75" customHeight="1">
      <c r="A831" s="12"/>
      <c r="B831" s="9" t="str">
        <f>IFERROR(__xludf.DUMMYFUNCTION("IF(A831&lt;&gt;"""", 
   IF(COUNTA(SPLIT(TRIM(A831), "" ""))=1, 
      LOWER(TRIM(A831)) &amp; ""@zupee.in"", 
      LOWER(INDEX(SPLIT(TRIM(A831), "" ""), 1)) &amp; ""."" &amp; LOWER(INDEX(SPLIT(TRIM(A831), "" ""), COUNTA(SPLIT(TRIM(A831), "" "")))) &amp; ""@zupee.in""
   ), 
"&amp;"   """")"),"")</f>
        <v/>
      </c>
      <c r="C831" s="10"/>
    </row>
    <row r="832" ht="15.75" customHeight="1">
      <c r="A832" s="12"/>
      <c r="B832" s="9" t="str">
        <f>IFERROR(__xludf.DUMMYFUNCTION("IF(A832&lt;&gt;"""", 
   IF(COUNTA(SPLIT(TRIM(A832), "" ""))=1, 
      LOWER(TRIM(A832)) &amp; ""@zupee.in"", 
      LOWER(INDEX(SPLIT(TRIM(A832), "" ""), 1)) &amp; ""."" &amp; LOWER(INDEX(SPLIT(TRIM(A832), "" ""), COUNTA(SPLIT(TRIM(A832), "" "")))) &amp; ""@zupee.in""
   ), 
"&amp;"   """")"),"")</f>
        <v/>
      </c>
      <c r="C832" s="10"/>
    </row>
    <row r="833" ht="15.75" customHeight="1">
      <c r="A833" s="12"/>
      <c r="B833" s="9" t="str">
        <f>IFERROR(__xludf.DUMMYFUNCTION("IF(A833&lt;&gt;"""", 
   IF(COUNTA(SPLIT(TRIM(A833), "" ""))=1, 
      LOWER(TRIM(A833)) &amp; ""@zupee.in"", 
      LOWER(INDEX(SPLIT(TRIM(A833), "" ""), 1)) &amp; ""."" &amp; LOWER(INDEX(SPLIT(TRIM(A833), "" ""), COUNTA(SPLIT(TRIM(A833), "" "")))) &amp; ""@zupee.in""
   ), 
"&amp;"   """")"),"")</f>
        <v/>
      </c>
      <c r="C833" s="10"/>
    </row>
    <row r="834" ht="15.75" customHeight="1">
      <c r="A834" s="12"/>
      <c r="B834" s="9" t="str">
        <f>IFERROR(__xludf.DUMMYFUNCTION("IF(A834&lt;&gt;"""", 
   IF(COUNTA(SPLIT(TRIM(A834), "" ""))=1, 
      LOWER(TRIM(A834)) &amp; ""@zupee.in"", 
      LOWER(INDEX(SPLIT(TRIM(A834), "" ""), 1)) &amp; ""."" &amp; LOWER(INDEX(SPLIT(TRIM(A834), "" ""), COUNTA(SPLIT(TRIM(A834), "" "")))) &amp; ""@zupee.in""
   ), 
"&amp;"   """")"),"")</f>
        <v/>
      </c>
      <c r="C834" s="10"/>
    </row>
    <row r="835" ht="15.75" customHeight="1">
      <c r="A835" s="12"/>
      <c r="B835" s="9" t="str">
        <f>IFERROR(__xludf.DUMMYFUNCTION("IF(A835&lt;&gt;"""", 
   IF(COUNTA(SPLIT(TRIM(A835), "" ""))=1, 
      LOWER(TRIM(A835)) &amp; ""@zupee.in"", 
      LOWER(INDEX(SPLIT(TRIM(A835), "" ""), 1)) &amp; ""."" &amp; LOWER(INDEX(SPLIT(TRIM(A835), "" ""), COUNTA(SPLIT(TRIM(A835), "" "")))) &amp; ""@zupee.in""
   ), 
"&amp;"   """")"),"")</f>
        <v/>
      </c>
      <c r="C835" s="10"/>
    </row>
    <row r="836" ht="15.75" customHeight="1">
      <c r="A836" s="12"/>
      <c r="B836" s="9" t="str">
        <f>IFERROR(__xludf.DUMMYFUNCTION("IF(A836&lt;&gt;"""", 
   IF(COUNTA(SPLIT(TRIM(A836), "" ""))=1, 
      LOWER(TRIM(A836)) &amp; ""@zupee.in"", 
      LOWER(INDEX(SPLIT(TRIM(A836), "" ""), 1)) &amp; ""."" &amp; LOWER(INDEX(SPLIT(TRIM(A836), "" ""), COUNTA(SPLIT(TRIM(A836), "" "")))) &amp; ""@zupee.in""
   ), 
"&amp;"   """")"),"")</f>
        <v/>
      </c>
      <c r="C836" s="10"/>
    </row>
    <row r="837" ht="15.75" customHeight="1">
      <c r="A837" s="12"/>
      <c r="B837" s="9" t="str">
        <f>IFERROR(__xludf.DUMMYFUNCTION("IF(A837&lt;&gt;"""", 
   IF(COUNTA(SPLIT(TRIM(A837), "" ""))=1, 
      LOWER(TRIM(A837)) &amp; ""@zupee.in"", 
      LOWER(INDEX(SPLIT(TRIM(A837), "" ""), 1)) &amp; ""."" &amp; LOWER(INDEX(SPLIT(TRIM(A837), "" ""), COUNTA(SPLIT(TRIM(A837), "" "")))) &amp; ""@zupee.in""
   ), 
"&amp;"   """")"),"")</f>
        <v/>
      </c>
      <c r="C837" s="10"/>
    </row>
    <row r="838" ht="15.75" customHeight="1">
      <c r="A838" s="12"/>
      <c r="B838" s="9" t="str">
        <f>IFERROR(__xludf.DUMMYFUNCTION("IF(A838&lt;&gt;"""", 
   IF(COUNTA(SPLIT(TRIM(A838), "" ""))=1, 
      LOWER(TRIM(A838)) &amp; ""@zupee.in"", 
      LOWER(INDEX(SPLIT(TRIM(A838), "" ""), 1)) &amp; ""."" &amp; LOWER(INDEX(SPLIT(TRIM(A838), "" ""), COUNTA(SPLIT(TRIM(A838), "" "")))) &amp; ""@zupee.in""
   ), 
"&amp;"   """")"),"")</f>
        <v/>
      </c>
      <c r="C838" s="10"/>
    </row>
    <row r="839" ht="15.75" customHeight="1">
      <c r="A839" s="12"/>
      <c r="B839" s="9" t="str">
        <f>IFERROR(__xludf.DUMMYFUNCTION("IF(A839&lt;&gt;"""", 
   IF(COUNTA(SPLIT(TRIM(A839), "" ""))=1, 
      LOWER(TRIM(A839)) &amp; ""@zupee.in"", 
      LOWER(INDEX(SPLIT(TRIM(A839), "" ""), 1)) &amp; ""."" &amp; LOWER(INDEX(SPLIT(TRIM(A839), "" ""), COUNTA(SPLIT(TRIM(A839), "" "")))) &amp; ""@zupee.in""
   ), 
"&amp;"   """")"),"")</f>
        <v/>
      </c>
      <c r="C839" s="10"/>
    </row>
    <row r="840" ht="15.75" customHeight="1">
      <c r="A840" s="12"/>
      <c r="B840" s="9" t="str">
        <f>IFERROR(__xludf.DUMMYFUNCTION("IF(A840&lt;&gt;"""", 
   IF(COUNTA(SPLIT(TRIM(A840), "" ""))=1, 
      LOWER(TRIM(A840)) &amp; ""@zupee.in"", 
      LOWER(INDEX(SPLIT(TRIM(A840), "" ""), 1)) &amp; ""."" &amp; LOWER(INDEX(SPLIT(TRIM(A840), "" ""), COUNTA(SPLIT(TRIM(A840), "" "")))) &amp; ""@zupee.in""
   ), 
"&amp;"   """")"),"")</f>
        <v/>
      </c>
      <c r="C840" s="10"/>
    </row>
    <row r="841" ht="15.75" customHeight="1">
      <c r="A841" s="12"/>
      <c r="B841" s="9" t="str">
        <f>IFERROR(__xludf.DUMMYFUNCTION("IF(A841&lt;&gt;"""", 
   IF(COUNTA(SPLIT(TRIM(A841), "" ""))=1, 
      LOWER(TRIM(A841)) &amp; ""@zupee.in"", 
      LOWER(INDEX(SPLIT(TRIM(A841), "" ""), 1)) &amp; ""."" &amp; LOWER(INDEX(SPLIT(TRIM(A841), "" ""), COUNTA(SPLIT(TRIM(A841), "" "")))) &amp; ""@zupee.in""
   ), 
"&amp;"   """")"),"")</f>
        <v/>
      </c>
      <c r="C841" s="10"/>
    </row>
    <row r="842" ht="15.75" customHeight="1">
      <c r="A842" s="12"/>
      <c r="B842" s="9" t="str">
        <f>IFERROR(__xludf.DUMMYFUNCTION("IF(A842&lt;&gt;"""", 
   IF(COUNTA(SPLIT(TRIM(A842), "" ""))=1, 
      LOWER(TRIM(A842)) &amp; ""@zupee.in"", 
      LOWER(INDEX(SPLIT(TRIM(A842), "" ""), 1)) &amp; ""."" &amp; LOWER(INDEX(SPLIT(TRIM(A842), "" ""), COUNTA(SPLIT(TRIM(A842), "" "")))) &amp; ""@zupee.in""
   ), 
"&amp;"   """")"),"")</f>
        <v/>
      </c>
      <c r="C842" s="10"/>
    </row>
    <row r="843" ht="15.75" customHeight="1">
      <c r="A843" s="12"/>
      <c r="B843" s="9" t="str">
        <f>IFERROR(__xludf.DUMMYFUNCTION("IF(A843&lt;&gt;"""", 
   IF(COUNTA(SPLIT(TRIM(A843), "" ""))=1, 
      LOWER(TRIM(A843)) &amp; ""@zupee.in"", 
      LOWER(INDEX(SPLIT(TRIM(A843), "" ""), 1)) &amp; ""."" &amp; LOWER(INDEX(SPLIT(TRIM(A843), "" ""), COUNTA(SPLIT(TRIM(A843), "" "")))) &amp; ""@zupee.in""
   ), 
"&amp;"   """")"),"")</f>
        <v/>
      </c>
      <c r="C843" s="10"/>
    </row>
    <row r="844" ht="15.75" customHeight="1">
      <c r="A844" s="12"/>
      <c r="B844" s="9" t="str">
        <f>IFERROR(__xludf.DUMMYFUNCTION("IF(A844&lt;&gt;"""", 
   IF(COUNTA(SPLIT(TRIM(A844), "" ""))=1, 
      LOWER(TRIM(A844)) &amp; ""@zupee.in"", 
      LOWER(INDEX(SPLIT(TRIM(A844), "" ""), 1)) &amp; ""."" &amp; LOWER(INDEX(SPLIT(TRIM(A844), "" ""), COUNTA(SPLIT(TRIM(A844), "" "")))) &amp; ""@zupee.in""
   ), 
"&amp;"   """")"),"")</f>
        <v/>
      </c>
      <c r="C844" s="10"/>
    </row>
    <row r="845" ht="15.75" customHeight="1">
      <c r="A845" s="12"/>
      <c r="B845" s="9" t="str">
        <f>IFERROR(__xludf.DUMMYFUNCTION("IF(A845&lt;&gt;"""", 
   IF(COUNTA(SPLIT(TRIM(A845), "" ""))=1, 
      LOWER(TRIM(A845)) &amp; ""@zupee.in"", 
      LOWER(INDEX(SPLIT(TRIM(A845), "" ""), 1)) &amp; ""."" &amp; LOWER(INDEX(SPLIT(TRIM(A845), "" ""), COUNTA(SPLIT(TRIM(A845), "" "")))) &amp; ""@zupee.in""
   ), 
"&amp;"   """")"),"")</f>
        <v/>
      </c>
      <c r="C845" s="10"/>
    </row>
    <row r="846" ht="15.75" customHeight="1">
      <c r="A846" s="12"/>
      <c r="B846" s="9" t="str">
        <f>IFERROR(__xludf.DUMMYFUNCTION("IF(A846&lt;&gt;"""", 
   IF(COUNTA(SPLIT(TRIM(A846), "" ""))=1, 
      LOWER(TRIM(A846)) &amp; ""@zupee.in"", 
      LOWER(INDEX(SPLIT(TRIM(A846), "" ""), 1)) &amp; ""."" &amp; LOWER(INDEX(SPLIT(TRIM(A846), "" ""), COUNTA(SPLIT(TRIM(A846), "" "")))) &amp; ""@zupee.in""
   ), 
"&amp;"   """")"),"")</f>
        <v/>
      </c>
      <c r="C846" s="10"/>
    </row>
    <row r="847" ht="15.75" customHeight="1">
      <c r="A847" s="12"/>
      <c r="B847" s="9" t="str">
        <f>IFERROR(__xludf.DUMMYFUNCTION("IF(A847&lt;&gt;"""", 
   IF(COUNTA(SPLIT(TRIM(A847), "" ""))=1, 
      LOWER(TRIM(A847)) &amp; ""@zupee.in"", 
      LOWER(INDEX(SPLIT(TRIM(A847), "" ""), 1)) &amp; ""."" &amp; LOWER(INDEX(SPLIT(TRIM(A847), "" ""), COUNTA(SPLIT(TRIM(A847), "" "")))) &amp; ""@zupee.in""
   ), 
"&amp;"   """")"),"")</f>
        <v/>
      </c>
      <c r="C847" s="10"/>
    </row>
    <row r="848" ht="15.75" customHeight="1">
      <c r="A848" s="12"/>
      <c r="B848" s="9" t="str">
        <f>IFERROR(__xludf.DUMMYFUNCTION("IF(A848&lt;&gt;"""", 
   IF(COUNTA(SPLIT(TRIM(A848), "" ""))=1, 
      LOWER(TRIM(A848)) &amp; ""@zupee.in"", 
      LOWER(INDEX(SPLIT(TRIM(A848), "" ""), 1)) &amp; ""."" &amp; LOWER(INDEX(SPLIT(TRIM(A848), "" ""), COUNTA(SPLIT(TRIM(A848), "" "")))) &amp; ""@zupee.in""
   ), 
"&amp;"   """")"),"")</f>
        <v/>
      </c>
      <c r="C848" s="10"/>
    </row>
    <row r="849" ht="15.75" customHeight="1">
      <c r="A849" s="12"/>
      <c r="B849" s="9" t="str">
        <f>IFERROR(__xludf.DUMMYFUNCTION("IF(A849&lt;&gt;"""", 
   IF(COUNTA(SPLIT(TRIM(A849), "" ""))=1, 
      LOWER(TRIM(A849)) &amp; ""@zupee.in"", 
      LOWER(INDEX(SPLIT(TRIM(A849), "" ""), 1)) &amp; ""."" &amp; LOWER(INDEX(SPLIT(TRIM(A849), "" ""), COUNTA(SPLIT(TRIM(A849), "" "")))) &amp; ""@zupee.in""
   ), 
"&amp;"   """")"),"")</f>
        <v/>
      </c>
      <c r="C849" s="10"/>
    </row>
    <row r="850" ht="15.75" customHeight="1">
      <c r="A850" s="12"/>
      <c r="B850" s="9" t="str">
        <f>IFERROR(__xludf.DUMMYFUNCTION("IF(A850&lt;&gt;"""", 
   IF(COUNTA(SPLIT(TRIM(A850), "" ""))=1, 
      LOWER(TRIM(A850)) &amp; ""@zupee.in"", 
      LOWER(INDEX(SPLIT(TRIM(A850), "" ""), 1)) &amp; ""."" &amp; LOWER(INDEX(SPLIT(TRIM(A850), "" ""), COUNTA(SPLIT(TRIM(A850), "" "")))) &amp; ""@zupee.in""
   ), 
"&amp;"   """")"),"")</f>
        <v/>
      </c>
      <c r="C850" s="10"/>
    </row>
    <row r="851" ht="15.75" customHeight="1">
      <c r="A851" s="12"/>
      <c r="B851" s="9" t="str">
        <f>IFERROR(__xludf.DUMMYFUNCTION("IF(A851&lt;&gt;"""", 
   IF(COUNTA(SPLIT(TRIM(A851), "" ""))=1, 
      LOWER(TRIM(A851)) &amp; ""@zupee.in"", 
      LOWER(INDEX(SPLIT(TRIM(A851), "" ""), 1)) &amp; ""."" &amp; LOWER(INDEX(SPLIT(TRIM(A851), "" ""), COUNTA(SPLIT(TRIM(A851), "" "")))) &amp; ""@zupee.in""
   ), 
"&amp;"   """")"),"")</f>
        <v/>
      </c>
      <c r="C851" s="10"/>
    </row>
    <row r="852" ht="15.75" customHeight="1">
      <c r="A852" s="12"/>
      <c r="B852" s="9" t="str">
        <f>IFERROR(__xludf.DUMMYFUNCTION("IF(A852&lt;&gt;"""", 
   IF(COUNTA(SPLIT(TRIM(A852), "" ""))=1, 
      LOWER(TRIM(A852)) &amp; ""@zupee.in"", 
      LOWER(INDEX(SPLIT(TRIM(A852), "" ""), 1)) &amp; ""."" &amp; LOWER(INDEX(SPLIT(TRIM(A852), "" ""), COUNTA(SPLIT(TRIM(A852), "" "")))) &amp; ""@zupee.in""
   ), 
"&amp;"   """")"),"")</f>
        <v/>
      </c>
      <c r="C852" s="10"/>
    </row>
    <row r="853" ht="15.75" customHeight="1">
      <c r="A853" s="12"/>
      <c r="B853" s="9" t="str">
        <f>IFERROR(__xludf.DUMMYFUNCTION("IF(A853&lt;&gt;"""", 
   IF(COUNTA(SPLIT(TRIM(A853), "" ""))=1, 
      LOWER(TRIM(A853)) &amp; ""@zupee.in"", 
      LOWER(INDEX(SPLIT(TRIM(A853), "" ""), 1)) &amp; ""."" &amp; LOWER(INDEX(SPLIT(TRIM(A853), "" ""), COUNTA(SPLIT(TRIM(A853), "" "")))) &amp; ""@zupee.in""
   ), 
"&amp;"   """")"),"")</f>
        <v/>
      </c>
      <c r="C853" s="10"/>
    </row>
    <row r="854" ht="15.75" customHeight="1">
      <c r="A854" s="12"/>
      <c r="B854" s="9" t="str">
        <f>IFERROR(__xludf.DUMMYFUNCTION("IF(A854&lt;&gt;"""", 
   IF(COUNTA(SPLIT(TRIM(A854), "" ""))=1, 
      LOWER(TRIM(A854)) &amp; ""@zupee.in"", 
      LOWER(INDEX(SPLIT(TRIM(A854), "" ""), 1)) &amp; ""."" &amp; LOWER(INDEX(SPLIT(TRIM(A854), "" ""), COUNTA(SPLIT(TRIM(A854), "" "")))) &amp; ""@zupee.in""
   ), 
"&amp;"   """")"),"")</f>
        <v/>
      </c>
      <c r="C854" s="10"/>
    </row>
    <row r="855" ht="15.75" customHeight="1">
      <c r="A855" s="12"/>
      <c r="B855" s="9" t="str">
        <f>IFERROR(__xludf.DUMMYFUNCTION("IF(A855&lt;&gt;"""", 
   IF(COUNTA(SPLIT(TRIM(A855), "" ""))=1, 
      LOWER(TRIM(A855)) &amp; ""@zupee.in"", 
      LOWER(INDEX(SPLIT(TRIM(A855), "" ""), 1)) &amp; ""."" &amp; LOWER(INDEX(SPLIT(TRIM(A855), "" ""), COUNTA(SPLIT(TRIM(A855), "" "")))) &amp; ""@zupee.in""
   ), 
"&amp;"   """")"),"")</f>
        <v/>
      </c>
      <c r="C855" s="10"/>
    </row>
    <row r="856" ht="15.75" customHeight="1">
      <c r="A856" s="12"/>
      <c r="B856" s="9" t="str">
        <f>IFERROR(__xludf.DUMMYFUNCTION("IF(A856&lt;&gt;"""", 
   IF(COUNTA(SPLIT(TRIM(A856), "" ""))=1, 
      LOWER(TRIM(A856)) &amp; ""@zupee.in"", 
      LOWER(INDEX(SPLIT(TRIM(A856), "" ""), 1)) &amp; ""."" &amp; LOWER(INDEX(SPLIT(TRIM(A856), "" ""), COUNTA(SPLIT(TRIM(A856), "" "")))) &amp; ""@zupee.in""
   ), 
"&amp;"   """")"),"")</f>
        <v/>
      </c>
      <c r="C856" s="10"/>
    </row>
    <row r="857" ht="15.75" customHeight="1">
      <c r="A857" s="12"/>
      <c r="B857" s="9" t="str">
        <f>IFERROR(__xludf.DUMMYFUNCTION("IF(A857&lt;&gt;"""", 
   IF(COUNTA(SPLIT(TRIM(A857), "" ""))=1, 
      LOWER(TRIM(A857)) &amp; ""@zupee.in"", 
      LOWER(INDEX(SPLIT(TRIM(A857), "" ""), 1)) &amp; ""."" &amp; LOWER(INDEX(SPLIT(TRIM(A857), "" ""), COUNTA(SPLIT(TRIM(A857), "" "")))) &amp; ""@zupee.in""
   ), 
"&amp;"   """")"),"")</f>
        <v/>
      </c>
      <c r="C857" s="10"/>
    </row>
    <row r="858" ht="15.75" customHeight="1">
      <c r="A858" s="12"/>
      <c r="B858" s="9" t="str">
        <f>IFERROR(__xludf.DUMMYFUNCTION("IF(A858&lt;&gt;"""", 
   IF(COUNTA(SPLIT(TRIM(A858), "" ""))=1, 
      LOWER(TRIM(A858)) &amp; ""@zupee.in"", 
      LOWER(INDEX(SPLIT(TRIM(A858), "" ""), 1)) &amp; ""."" &amp; LOWER(INDEX(SPLIT(TRIM(A858), "" ""), COUNTA(SPLIT(TRIM(A858), "" "")))) &amp; ""@zupee.in""
   ), 
"&amp;"   """")"),"")</f>
        <v/>
      </c>
      <c r="C858" s="10"/>
    </row>
    <row r="859" ht="15.75" customHeight="1">
      <c r="A859" s="12"/>
      <c r="B859" s="9" t="str">
        <f>IFERROR(__xludf.DUMMYFUNCTION("IF(A859&lt;&gt;"""", 
   IF(COUNTA(SPLIT(TRIM(A859), "" ""))=1, 
      LOWER(TRIM(A859)) &amp; ""@zupee.in"", 
      LOWER(INDEX(SPLIT(TRIM(A859), "" ""), 1)) &amp; ""."" &amp; LOWER(INDEX(SPLIT(TRIM(A859), "" ""), COUNTA(SPLIT(TRIM(A859), "" "")))) &amp; ""@zupee.in""
   ), 
"&amp;"   """")"),"")</f>
        <v/>
      </c>
      <c r="C859" s="10"/>
    </row>
    <row r="860" ht="15.75" customHeight="1">
      <c r="A860" s="12"/>
      <c r="B860" s="9" t="str">
        <f>IFERROR(__xludf.DUMMYFUNCTION("IF(A860&lt;&gt;"""", 
   IF(COUNTA(SPLIT(TRIM(A860), "" ""))=1, 
      LOWER(TRIM(A860)) &amp; ""@zupee.in"", 
      LOWER(INDEX(SPLIT(TRIM(A860), "" ""), 1)) &amp; ""."" &amp; LOWER(INDEX(SPLIT(TRIM(A860), "" ""), COUNTA(SPLIT(TRIM(A860), "" "")))) &amp; ""@zupee.in""
   ), 
"&amp;"   """")"),"")</f>
        <v/>
      </c>
      <c r="C860" s="10"/>
    </row>
    <row r="861" ht="15.75" customHeight="1">
      <c r="A861" s="12"/>
      <c r="B861" s="9" t="str">
        <f>IFERROR(__xludf.DUMMYFUNCTION("IF(A861&lt;&gt;"""", 
   IF(COUNTA(SPLIT(TRIM(A861), "" ""))=1, 
      LOWER(TRIM(A861)) &amp; ""@zupee.in"", 
      LOWER(INDEX(SPLIT(TRIM(A861), "" ""), 1)) &amp; ""."" &amp; LOWER(INDEX(SPLIT(TRIM(A861), "" ""), COUNTA(SPLIT(TRIM(A861), "" "")))) &amp; ""@zupee.in""
   ), 
"&amp;"   """")"),"")</f>
        <v/>
      </c>
      <c r="C861" s="10"/>
    </row>
    <row r="862" ht="15.75" customHeight="1">
      <c r="A862" s="12"/>
      <c r="B862" s="9" t="str">
        <f>IFERROR(__xludf.DUMMYFUNCTION("IF(A862&lt;&gt;"""", 
   IF(COUNTA(SPLIT(TRIM(A862), "" ""))=1, 
      LOWER(TRIM(A862)) &amp; ""@zupee.in"", 
      LOWER(INDEX(SPLIT(TRIM(A862), "" ""), 1)) &amp; ""."" &amp; LOWER(INDEX(SPLIT(TRIM(A862), "" ""), COUNTA(SPLIT(TRIM(A862), "" "")))) &amp; ""@zupee.in""
   ), 
"&amp;"   """")"),"")</f>
        <v/>
      </c>
      <c r="C862" s="10"/>
    </row>
    <row r="863" ht="15.75" customHeight="1">
      <c r="A863" s="12"/>
      <c r="B863" s="9" t="str">
        <f>IFERROR(__xludf.DUMMYFUNCTION("IF(A863&lt;&gt;"""", 
   IF(COUNTA(SPLIT(TRIM(A863), "" ""))=1, 
      LOWER(TRIM(A863)) &amp; ""@zupee.in"", 
      LOWER(INDEX(SPLIT(TRIM(A863), "" ""), 1)) &amp; ""."" &amp; LOWER(INDEX(SPLIT(TRIM(A863), "" ""), COUNTA(SPLIT(TRIM(A863), "" "")))) &amp; ""@zupee.in""
   ), 
"&amp;"   """")"),"")</f>
        <v/>
      </c>
      <c r="C863" s="10"/>
    </row>
    <row r="864" ht="15.75" customHeight="1">
      <c r="A864" s="12"/>
      <c r="B864" s="9" t="str">
        <f>IFERROR(__xludf.DUMMYFUNCTION("IF(A864&lt;&gt;"""", 
   IF(COUNTA(SPLIT(TRIM(A864), "" ""))=1, 
      LOWER(TRIM(A864)) &amp; ""@zupee.in"", 
      LOWER(INDEX(SPLIT(TRIM(A864), "" ""), 1)) &amp; ""."" &amp; LOWER(INDEX(SPLIT(TRIM(A864), "" ""), COUNTA(SPLIT(TRIM(A864), "" "")))) &amp; ""@zupee.in""
   ), 
"&amp;"   """")"),"")</f>
        <v/>
      </c>
      <c r="C864" s="10"/>
    </row>
    <row r="865" ht="15.75" customHeight="1">
      <c r="A865" s="12"/>
      <c r="B865" s="9" t="str">
        <f>IFERROR(__xludf.DUMMYFUNCTION("IF(A865&lt;&gt;"""", 
   IF(COUNTA(SPLIT(TRIM(A865), "" ""))=1, 
      LOWER(TRIM(A865)) &amp; ""@zupee.in"", 
      LOWER(INDEX(SPLIT(TRIM(A865), "" ""), 1)) &amp; ""."" &amp; LOWER(INDEX(SPLIT(TRIM(A865), "" ""), COUNTA(SPLIT(TRIM(A865), "" "")))) &amp; ""@zupee.in""
   ), 
"&amp;"   """")"),"")</f>
        <v/>
      </c>
      <c r="C865" s="10"/>
    </row>
    <row r="866" ht="15.75" customHeight="1">
      <c r="A866" s="12"/>
      <c r="B866" s="9" t="str">
        <f>IFERROR(__xludf.DUMMYFUNCTION("IF(A866&lt;&gt;"""", 
   IF(COUNTA(SPLIT(TRIM(A866), "" ""))=1, 
      LOWER(TRIM(A866)) &amp; ""@zupee.in"", 
      LOWER(INDEX(SPLIT(TRIM(A866), "" ""), 1)) &amp; ""."" &amp; LOWER(INDEX(SPLIT(TRIM(A866), "" ""), COUNTA(SPLIT(TRIM(A866), "" "")))) &amp; ""@zupee.in""
   ), 
"&amp;"   """")"),"")</f>
        <v/>
      </c>
      <c r="C866" s="10"/>
    </row>
    <row r="867" ht="15.75" customHeight="1">
      <c r="A867" s="12"/>
      <c r="B867" s="9" t="str">
        <f>IFERROR(__xludf.DUMMYFUNCTION("IF(A867&lt;&gt;"""", 
   IF(COUNTA(SPLIT(TRIM(A867), "" ""))=1, 
      LOWER(TRIM(A867)) &amp; ""@zupee.in"", 
      LOWER(INDEX(SPLIT(TRIM(A867), "" ""), 1)) &amp; ""."" &amp; LOWER(INDEX(SPLIT(TRIM(A867), "" ""), COUNTA(SPLIT(TRIM(A867), "" "")))) &amp; ""@zupee.in""
   ), 
"&amp;"   """")"),"")</f>
        <v/>
      </c>
      <c r="C867" s="10"/>
    </row>
    <row r="868" ht="15.75" customHeight="1">
      <c r="A868" s="12"/>
      <c r="B868" s="9" t="str">
        <f>IFERROR(__xludf.DUMMYFUNCTION("IF(A868&lt;&gt;"""", 
   IF(COUNTA(SPLIT(TRIM(A868), "" ""))=1, 
      LOWER(TRIM(A868)) &amp; ""@zupee.in"", 
      LOWER(INDEX(SPLIT(TRIM(A868), "" ""), 1)) &amp; ""."" &amp; LOWER(INDEX(SPLIT(TRIM(A868), "" ""), COUNTA(SPLIT(TRIM(A868), "" "")))) &amp; ""@zupee.in""
   ), 
"&amp;"   """")"),"")</f>
        <v/>
      </c>
      <c r="C868" s="10"/>
    </row>
    <row r="869" ht="15.75" customHeight="1">
      <c r="A869" s="12"/>
      <c r="B869" s="9" t="str">
        <f>IFERROR(__xludf.DUMMYFUNCTION("IF(A869&lt;&gt;"""", 
   IF(COUNTA(SPLIT(TRIM(A869), "" ""))=1, 
      LOWER(TRIM(A869)) &amp; ""@zupee.in"", 
      LOWER(INDEX(SPLIT(TRIM(A869), "" ""), 1)) &amp; ""."" &amp; LOWER(INDEX(SPLIT(TRIM(A869), "" ""), COUNTA(SPLIT(TRIM(A869), "" "")))) &amp; ""@zupee.in""
   ), 
"&amp;"   """")"),"")</f>
        <v/>
      </c>
      <c r="C869" s="10"/>
    </row>
    <row r="870" ht="15.75" customHeight="1">
      <c r="A870" s="12"/>
      <c r="B870" s="9" t="str">
        <f>IFERROR(__xludf.DUMMYFUNCTION("IF(A870&lt;&gt;"""", 
   IF(COUNTA(SPLIT(TRIM(A870), "" ""))=1, 
      LOWER(TRIM(A870)) &amp; ""@zupee.in"", 
      LOWER(INDEX(SPLIT(TRIM(A870), "" ""), 1)) &amp; ""."" &amp; LOWER(INDEX(SPLIT(TRIM(A870), "" ""), COUNTA(SPLIT(TRIM(A870), "" "")))) &amp; ""@zupee.in""
   ), 
"&amp;"   """")"),"")</f>
        <v/>
      </c>
      <c r="C870" s="10"/>
    </row>
    <row r="871" ht="15.75" customHeight="1">
      <c r="A871" s="12"/>
      <c r="B871" s="9" t="str">
        <f>IFERROR(__xludf.DUMMYFUNCTION("IF(A871&lt;&gt;"""", 
   IF(COUNTA(SPLIT(TRIM(A871), "" ""))=1, 
      LOWER(TRIM(A871)) &amp; ""@zupee.in"", 
      LOWER(INDEX(SPLIT(TRIM(A871), "" ""), 1)) &amp; ""."" &amp; LOWER(INDEX(SPLIT(TRIM(A871), "" ""), COUNTA(SPLIT(TRIM(A871), "" "")))) &amp; ""@zupee.in""
   ), 
"&amp;"   """")"),"")</f>
        <v/>
      </c>
      <c r="C871" s="10"/>
    </row>
    <row r="872" ht="15.75" customHeight="1">
      <c r="A872" s="12"/>
      <c r="B872" s="9" t="str">
        <f>IFERROR(__xludf.DUMMYFUNCTION("IF(A872&lt;&gt;"""", 
   IF(COUNTA(SPLIT(TRIM(A872), "" ""))=1, 
      LOWER(TRIM(A872)) &amp; ""@zupee.in"", 
      LOWER(INDEX(SPLIT(TRIM(A872), "" ""), 1)) &amp; ""."" &amp; LOWER(INDEX(SPLIT(TRIM(A872), "" ""), COUNTA(SPLIT(TRIM(A872), "" "")))) &amp; ""@zupee.in""
   ), 
"&amp;"   """")"),"")</f>
        <v/>
      </c>
      <c r="C872" s="10"/>
    </row>
    <row r="873" ht="15.75" customHeight="1">
      <c r="A873" s="12"/>
      <c r="B873" s="9" t="str">
        <f>IFERROR(__xludf.DUMMYFUNCTION("IF(A873&lt;&gt;"""", 
   IF(COUNTA(SPLIT(TRIM(A873), "" ""))=1, 
      LOWER(TRIM(A873)) &amp; ""@zupee.in"", 
      LOWER(INDEX(SPLIT(TRIM(A873), "" ""), 1)) &amp; ""."" &amp; LOWER(INDEX(SPLIT(TRIM(A873), "" ""), COUNTA(SPLIT(TRIM(A873), "" "")))) &amp; ""@zupee.in""
   ), 
"&amp;"   """")"),"")</f>
        <v/>
      </c>
      <c r="C873" s="10"/>
    </row>
    <row r="874" ht="15.75" customHeight="1">
      <c r="A874" s="12"/>
      <c r="B874" s="9" t="str">
        <f>IFERROR(__xludf.DUMMYFUNCTION("IF(A874&lt;&gt;"""", 
   IF(COUNTA(SPLIT(TRIM(A874), "" ""))=1, 
      LOWER(TRIM(A874)) &amp; ""@zupee.in"", 
      LOWER(INDEX(SPLIT(TRIM(A874), "" ""), 1)) &amp; ""."" &amp; LOWER(INDEX(SPLIT(TRIM(A874), "" ""), COUNTA(SPLIT(TRIM(A874), "" "")))) &amp; ""@zupee.in""
   ), 
"&amp;"   """")"),"")</f>
        <v/>
      </c>
      <c r="C874" s="10"/>
    </row>
    <row r="875" ht="15.75" customHeight="1">
      <c r="A875" s="12"/>
      <c r="B875" s="9" t="str">
        <f>IFERROR(__xludf.DUMMYFUNCTION("IF(A875&lt;&gt;"""", 
   IF(COUNTA(SPLIT(TRIM(A875), "" ""))=1, 
      LOWER(TRIM(A875)) &amp; ""@zupee.in"", 
      LOWER(INDEX(SPLIT(TRIM(A875), "" ""), 1)) &amp; ""."" &amp; LOWER(INDEX(SPLIT(TRIM(A875), "" ""), COUNTA(SPLIT(TRIM(A875), "" "")))) &amp; ""@zupee.in""
   ), 
"&amp;"   """")"),"")</f>
        <v/>
      </c>
      <c r="C875" s="10"/>
    </row>
    <row r="876" ht="15.75" customHeight="1">
      <c r="A876" s="12"/>
      <c r="B876" s="9" t="str">
        <f>IFERROR(__xludf.DUMMYFUNCTION("IF(A876&lt;&gt;"""", 
   IF(COUNTA(SPLIT(TRIM(A876), "" ""))=1, 
      LOWER(TRIM(A876)) &amp; ""@zupee.in"", 
      LOWER(INDEX(SPLIT(TRIM(A876), "" ""), 1)) &amp; ""."" &amp; LOWER(INDEX(SPLIT(TRIM(A876), "" ""), COUNTA(SPLIT(TRIM(A876), "" "")))) &amp; ""@zupee.in""
   ), 
"&amp;"   """")"),"")</f>
        <v/>
      </c>
      <c r="C876" s="10"/>
    </row>
    <row r="877" ht="15.75" customHeight="1">
      <c r="A877" s="12"/>
      <c r="B877" s="9" t="str">
        <f>IFERROR(__xludf.DUMMYFUNCTION("IF(A877&lt;&gt;"""", 
   IF(COUNTA(SPLIT(TRIM(A877), "" ""))=1, 
      LOWER(TRIM(A877)) &amp; ""@zupee.in"", 
      LOWER(INDEX(SPLIT(TRIM(A877), "" ""), 1)) &amp; ""."" &amp; LOWER(INDEX(SPLIT(TRIM(A877), "" ""), COUNTA(SPLIT(TRIM(A877), "" "")))) &amp; ""@zupee.in""
   ), 
"&amp;"   """")"),"")</f>
        <v/>
      </c>
      <c r="C877" s="10"/>
    </row>
    <row r="878" ht="15.75" customHeight="1">
      <c r="A878" s="12"/>
      <c r="B878" s="9" t="str">
        <f>IFERROR(__xludf.DUMMYFUNCTION("IF(A878&lt;&gt;"""", 
   IF(COUNTA(SPLIT(TRIM(A878), "" ""))=1, 
      LOWER(TRIM(A878)) &amp; ""@zupee.in"", 
      LOWER(INDEX(SPLIT(TRIM(A878), "" ""), 1)) &amp; ""."" &amp; LOWER(INDEX(SPLIT(TRIM(A878), "" ""), COUNTA(SPLIT(TRIM(A878), "" "")))) &amp; ""@zupee.in""
   ), 
"&amp;"   """")"),"")</f>
        <v/>
      </c>
      <c r="C878" s="10"/>
    </row>
    <row r="879" ht="15.75" customHeight="1">
      <c r="A879" s="12"/>
      <c r="B879" s="9" t="str">
        <f>IFERROR(__xludf.DUMMYFUNCTION("IF(A879&lt;&gt;"""", 
   IF(COUNTA(SPLIT(TRIM(A879), "" ""))=1, 
      LOWER(TRIM(A879)) &amp; ""@zupee.in"", 
      LOWER(INDEX(SPLIT(TRIM(A879), "" ""), 1)) &amp; ""."" &amp; LOWER(INDEX(SPLIT(TRIM(A879), "" ""), COUNTA(SPLIT(TRIM(A879), "" "")))) &amp; ""@zupee.in""
   ), 
"&amp;"   """")"),"")</f>
        <v/>
      </c>
      <c r="C879" s="10"/>
    </row>
    <row r="880" ht="15.75" customHeight="1">
      <c r="A880" s="12"/>
      <c r="B880" s="9" t="str">
        <f>IFERROR(__xludf.DUMMYFUNCTION("IF(A880&lt;&gt;"""", 
   IF(COUNTA(SPLIT(TRIM(A880), "" ""))=1, 
      LOWER(TRIM(A880)) &amp; ""@zupee.in"", 
      LOWER(INDEX(SPLIT(TRIM(A880), "" ""), 1)) &amp; ""."" &amp; LOWER(INDEX(SPLIT(TRIM(A880), "" ""), COUNTA(SPLIT(TRIM(A880), "" "")))) &amp; ""@zupee.in""
   ), 
"&amp;"   """")"),"")</f>
        <v/>
      </c>
      <c r="C880" s="10"/>
    </row>
    <row r="881" ht="15.75" customHeight="1">
      <c r="A881" s="12"/>
      <c r="B881" s="9" t="str">
        <f>IFERROR(__xludf.DUMMYFUNCTION("IF(A881&lt;&gt;"""", 
   IF(COUNTA(SPLIT(TRIM(A881), "" ""))=1, 
      LOWER(TRIM(A881)) &amp; ""@zupee.in"", 
      LOWER(INDEX(SPLIT(TRIM(A881), "" ""), 1)) &amp; ""."" &amp; LOWER(INDEX(SPLIT(TRIM(A881), "" ""), COUNTA(SPLIT(TRIM(A881), "" "")))) &amp; ""@zupee.in""
   ), 
"&amp;"   """")"),"")</f>
        <v/>
      </c>
      <c r="C881" s="10"/>
    </row>
    <row r="882" ht="15.75" customHeight="1">
      <c r="A882" s="12"/>
      <c r="B882" s="9" t="str">
        <f>IFERROR(__xludf.DUMMYFUNCTION("IF(A882&lt;&gt;"""", 
   IF(COUNTA(SPLIT(TRIM(A882), "" ""))=1, 
      LOWER(TRIM(A882)) &amp; ""@zupee.in"", 
      LOWER(INDEX(SPLIT(TRIM(A882), "" ""), 1)) &amp; ""."" &amp; LOWER(INDEX(SPLIT(TRIM(A882), "" ""), COUNTA(SPLIT(TRIM(A882), "" "")))) &amp; ""@zupee.in""
   ), 
"&amp;"   """")"),"")</f>
        <v/>
      </c>
      <c r="C882" s="10"/>
    </row>
    <row r="883" ht="15.75" customHeight="1">
      <c r="A883" s="12"/>
      <c r="B883" s="9" t="str">
        <f>IFERROR(__xludf.DUMMYFUNCTION("IF(A883&lt;&gt;"""", 
   IF(COUNTA(SPLIT(TRIM(A883), "" ""))=1, 
      LOWER(TRIM(A883)) &amp; ""@zupee.in"", 
      LOWER(INDEX(SPLIT(TRIM(A883), "" ""), 1)) &amp; ""."" &amp; LOWER(INDEX(SPLIT(TRIM(A883), "" ""), COUNTA(SPLIT(TRIM(A883), "" "")))) &amp; ""@zupee.in""
   ), 
"&amp;"   """")"),"")</f>
        <v/>
      </c>
      <c r="C883" s="10"/>
    </row>
    <row r="884" ht="15.75" customHeight="1">
      <c r="A884" s="12"/>
      <c r="B884" s="9" t="str">
        <f>IFERROR(__xludf.DUMMYFUNCTION("IF(A884&lt;&gt;"""", 
   IF(COUNTA(SPLIT(TRIM(A884), "" ""))=1, 
      LOWER(TRIM(A884)) &amp; ""@zupee.in"", 
      LOWER(INDEX(SPLIT(TRIM(A884), "" ""), 1)) &amp; ""."" &amp; LOWER(INDEX(SPLIT(TRIM(A884), "" ""), COUNTA(SPLIT(TRIM(A884), "" "")))) &amp; ""@zupee.in""
   ), 
"&amp;"   """")"),"")</f>
        <v/>
      </c>
      <c r="C884" s="10"/>
    </row>
    <row r="885" ht="15.75" customHeight="1">
      <c r="A885" s="12"/>
      <c r="B885" s="9" t="str">
        <f>IFERROR(__xludf.DUMMYFUNCTION("IF(A885&lt;&gt;"""", 
   IF(COUNTA(SPLIT(TRIM(A885), "" ""))=1, 
      LOWER(TRIM(A885)) &amp; ""@zupee.in"", 
      LOWER(INDEX(SPLIT(TRIM(A885), "" ""), 1)) &amp; ""."" &amp; LOWER(INDEX(SPLIT(TRIM(A885), "" ""), COUNTA(SPLIT(TRIM(A885), "" "")))) &amp; ""@zupee.in""
   ), 
"&amp;"   """")"),"")</f>
        <v/>
      </c>
      <c r="C885" s="10"/>
    </row>
    <row r="886" ht="15.75" customHeight="1">
      <c r="A886" s="12"/>
      <c r="B886" s="9" t="str">
        <f>IFERROR(__xludf.DUMMYFUNCTION("IF(A886&lt;&gt;"""", 
   IF(COUNTA(SPLIT(TRIM(A886), "" ""))=1, 
      LOWER(TRIM(A886)) &amp; ""@zupee.in"", 
      LOWER(INDEX(SPLIT(TRIM(A886), "" ""), 1)) &amp; ""."" &amp; LOWER(INDEX(SPLIT(TRIM(A886), "" ""), COUNTA(SPLIT(TRIM(A886), "" "")))) &amp; ""@zupee.in""
   ), 
"&amp;"   """")"),"")</f>
        <v/>
      </c>
      <c r="C886" s="10"/>
    </row>
    <row r="887" ht="15.75" customHeight="1">
      <c r="A887" s="12"/>
      <c r="B887" s="9" t="str">
        <f>IFERROR(__xludf.DUMMYFUNCTION("IF(A887&lt;&gt;"""", 
   IF(COUNTA(SPLIT(TRIM(A887), "" ""))=1, 
      LOWER(TRIM(A887)) &amp; ""@zupee.in"", 
      LOWER(INDEX(SPLIT(TRIM(A887), "" ""), 1)) &amp; ""."" &amp; LOWER(INDEX(SPLIT(TRIM(A887), "" ""), COUNTA(SPLIT(TRIM(A887), "" "")))) &amp; ""@zupee.in""
   ), 
"&amp;"   """")"),"")</f>
        <v/>
      </c>
      <c r="C887" s="10"/>
    </row>
    <row r="888" ht="15.75" customHeight="1">
      <c r="A888" s="12"/>
      <c r="B888" s="9" t="str">
        <f>IFERROR(__xludf.DUMMYFUNCTION("IF(A888&lt;&gt;"""", 
   IF(COUNTA(SPLIT(TRIM(A888), "" ""))=1, 
      LOWER(TRIM(A888)) &amp; ""@zupee.in"", 
      LOWER(INDEX(SPLIT(TRIM(A888), "" ""), 1)) &amp; ""."" &amp; LOWER(INDEX(SPLIT(TRIM(A888), "" ""), COUNTA(SPLIT(TRIM(A888), "" "")))) &amp; ""@zupee.in""
   ), 
"&amp;"   """")"),"")</f>
        <v/>
      </c>
      <c r="C888" s="10"/>
    </row>
    <row r="889" ht="15.75" customHeight="1">
      <c r="A889" s="12"/>
      <c r="B889" s="9" t="str">
        <f>IFERROR(__xludf.DUMMYFUNCTION("IF(A889&lt;&gt;"""", 
   IF(COUNTA(SPLIT(TRIM(A889), "" ""))=1, 
      LOWER(TRIM(A889)) &amp; ""@zupee.in"", 
      LOWER(INDEX(SPLIT(TRIM(A889), "" ""), 1)) &amp; ""."" &amp; LOWER(INDEX(SPLIT(TRIM(A889), "" ""), COUNTA(SPLIT(TRIM(A889), "" "")))) &amp; ""@zupee.in""
   ), 
"&amp;"   """")"),"")</f>
        <v/>
      </c>
      <c r="C889" s="10"/>
    </row>
    <row r="890" ht="15.75" customHeight="1">
      <c r="A890" s="12"/>
      <c r="B890" s="9" t="str">
        <f>IFERROR(__xludf.DUMMYFUNCTION("IF(A890&lt;&gt;"""", 
   IF(COUNTA(SPLIT(TRIM(A890), "" ""))=1, 
      LOWER(TRIM(A890)) &amp; ""@zupee.in"", 
      LOWER(INDEX(SPLIT(TRIM(A890), "" ""), 1)) &amp; ""."" &amp; LOWER(INDEX(SPLIT(TRIM(A890), "" ""), COUNTA(SPLIT(TRIM(A890), "" "")))) &amp; ""@zupee.in""
   ), 
"&amp;"   """")"),"")</f>
        <v/>
      </c>
      <c r="C890" s="10"/>
    </row>
    <row r="891" ht="15.75" customHeight="1">
      <c r="A891" s="12"/>
      <c r="B891" s="9" t="str">
        <f>IFERROR(__xludf.DUMMYFUNCTION("IF(A891&lt;&gt;"""", 
   IF(COUNTA(SPLIT(TRIM(A891), "" ""))=1, 
      LOWER(TRIM(A891)) &amp; ""@zupee.in"", 
      LOWER(INDEX(SPLIT(TRIM(A891), "" ""), 1)) &amp; ""."" &amp; LOWER(INDEX(SPLIT(TRIM(A891), "" ""), COUNTA(SPLIT(TRIM(A891), "" "")))) &amp; ""@zupee.in""
   ), 
"&amp;"   """")"),"")</f>
        <v/>
      </c>
      <c r="C891" s="10"/>
    </row>
    <row r="892" ht="15.75" customHeight="1">
      <c r="A892" s="12"/>
      <c r="B892" s="9" t="str">
        <f>IFERROR(__xludf.DUMMYFUNCTION("IF(A892&lt;&gt;"""", 
   IF(COUNTA(SPLIT(TRIM(A892), "" ""))=1, 
      LOWER(TRIM(A892)) &amp; ""@zupee.in"", 
      LOWER(INDEX(SPLIT(TRIM(A892), "" ""), 1)) &amp; ""."" &amp; LOWER(INDEX(SPLIT(TRIM(A892), "" ""), COUNTA(SPLIT(TRIM(A892), "" "")))) &amp; ""@zupee.in""
   ), 
"&amp;"   """")"),"")</f>
        <v/>
      </c>
      <c r="C892" s="10"/>
    </row>
    <row r="893" ht="15.75" customHeight="1">
      <c r="A893" s="12"/>
      <c r="B893" s="9" t="str">
        <f>IFERROR(__xludf.DUMMYFUNCTION("IF(A893&lt;&gt;"""", 
   IF(COUNTA(SPLIT(TRIM(A893), "" ""))=1, 
      LOWER(TRIM(A893)) &amp; ""@zupee.in"", 
      LOWER(INDEX(SPLIT(TRIM(A893), "" ""), 1)) &amp; ""."" &amp; LOWER(INDEX(SPLIT(TRIM(A893), "" ""), COUNTA(SPLIT(TRIM(A893), "" "")))) &amp; ""@zupee.in""
   ), 
"&amp;"   """")"),"")</f>
        <v/>
      </c>
      <c r="C893" s="10"/>
    </row>
    <row r="894" ht="15.75" customHeight="1">
      <c r="A894" s="12"/>
      <c r="B894" s="9" t="str">
        <f>IFERROR(__xludf.DUMMYFUNCTION("IF(A894&lt;&gt;"""", 
   IF(COUNTA(SPLIT(TRIM(A894), "" ""))=1, 
      LOWER(TRIM(A894)) &amp; ""@zupee.in"", 
      LOWER(INDEX(SPLIT(TRIM(A894), "" ""), 1)) &amp; ""."" &amp; LOWER(INDEX(SPLIT(TRIM(A894), "" ""), COUNTA(SPLIT(TRIM(A894), "" "")))) &amp; ""@zupee.in""
   ), 
"&amp;"   """")"),"")</f>
        <v/>
      </c>
      <c r="C894" s="10"/>
    </row>
    <row r="895" ht="15.75" customHeight="1">
      <c r="A895" s="12"/>
      <c r="B895" s="9" t="str">
        <f>IFERROR(__xludf.DUMMYFUNCTION("IF(A895&lt;&gt;"""", 
   IF(COUNTA(SPLIT(TRIM(A895), "" ""))=1, 
      LOWER(TRIM(A895)) &amp; ""@zupee.in"", 
      LOWER(INDEX(SPLIT(TRIM(A895), "" ""), 1)) &amp; ""."" &amp; LOWER(INDEX(SPLIT(TRIM(A895), "" ""), COUNTA(SPLIT(TRIM(A895), "" "")))) &amp; ""@zupee.in""
   ), 
"&amp;"   """")"),"")</f>
        <v/>
      </c>
      <c r="C895" s="10"/>
    </row>
    <row r="896" ht="15.75" customHeight="1">
      <c r="A896" s="12"/>
      <c r="B896" s="9" t="str">
        <f>IFERROR(__xludf.DUMMYFUNCTION("IF(A896&lt;&gt;"""", 
   IF(COUNTA(SPLIT(TRIM(A896), "" ""))=1, 
      LOWER(TRIM(A896)) &amp; ""@zupee.in"", 
      LOWER(INDEX(SPLIT(TRIM(A896), "" ""), 1)) &amp; ""."" &amp; LOWER(INDEX(SPLIT(TRIM(A896), "" ""), COUNTA(SPLIT(TRIM(A896), "" "")))) &amp; ""@zupee.in""
   ), 
"&amp;"   """")"),"")</f>
        <v/>
      </c>
      <c r="C896" s="10"/>
    </row>
    <row r="897" ht="15.75" customHeight="1">
      <c r="A897" s="12"/>
      <c r="B897" s="9" t="str">
        <f>IFERROR(__xludf.DUMMYFUNCTION("IF(A897&lt;&gt;"""", 
   IF(COUNTA(SPLIT(TRIM(A897), "" ""))=1, 
      LOWER(TRIM(A897)) &amp; ""@zupee.in"", 
      LOWER(INDEX(SPLIT(TRIM(A897), "" ""), 1)) &amp; ""."" &amp; LOWER(INDEX(SPLIT(TRIM(A897), "" ""), COUNTA(SPLIT(TRIM(A897), "" "")))) &amp; ""@zupee.in""
   ), 
"&amp;"   """")"),"")</f>
        <v/>
      </c>
      <c r="C897" s="10"/>
    </row>
    <row r="898" ht="15.75" customHeight="1">
      <c r="A898" s="12"/>
      <c r="B898" s="9" t="str">
        <f>IFERROR(__xludf.DUMMYFUNCTION("IF(A898&lt;&gt;"""", 
   IF(COUNTA(SPLIT(TRIM(A898), "" ""))=1, 
      LOWER(TRIM(A898)) &amp; ""@zupee.in"", 
      LOWER(INDEX(SPLIT(TRIM(A898), "" ""), 1)) &amp; ""."" &amp; LOWER(INDEX(SPLIT(TRIM(A898), "" ""), COUNTA(SPLIT(TRIM(A898), "" "")))) &amp; ""@zupee.in""
   ), 
"&amp;"   """")"),"")</f>
        <v/>
      </c>
      <c r="C898" s="10"/>
    </row>
    <row r="899" ht="15.75" customHeight="1">
      <c r="A899" s="12"/>
      <c r="B899" s="9" t="str">
        <f>IFERROR(__xludf.DUMMYFUNCTION("IF(A899&lt;&gt;"""", 
   IF(COUNTA(SPLIT(TRIM(A899), "" ""))=1, 
      LOWER(TRIM(A899)) &amp; ""@zupee.in"", 
      LOWER(INDEX(SPLIT(TRIM(A899), "" ""), 1)) &amp; ""."" &amp; LOWER(INDEX(SPLIT(TRIM(A899), "" ""), COUNTA(SPLIT(TRIM(A899), "" "")))) &amp; ""@zupee.in""
   ), 
"&amp;"   """")"),"")</f>
        <v/>
      </c>
      <c r="C899" s="10"/>
    </row>
    <row r="900" ht="15.75" customHeight="1">
      <c r="A900" s="12"/>
      <c r="B900" s="9" t="str">
        <f>IFERROR(__xludf.DUMMYFUNCTION("IF(A900&lt;&gt;"""", 
   IF(COUNTA(SPLIT(TRIM(A900), "" ""))=1, 
      LOWER(TRIM(A900)) &amp; ""@zupee.in"", 
      LOWER(INDEX(SPLIT(TRIM(A900), "" ""), 1)) &amp; ""."" &amp; LOWER(INDEX(SPLIT(TRIM(A900), "" ""), COUNTA(SPLIT(TRIM(A900), "" "")))) &amp; ""@zupee.in""
   ), 
"&amp;"   """")"),"")</f>
        <v/>
      </c>
      <c r="C900" s="10"/>
    </row>
    <row r="901" ht="15.75" customHeight="1">
      <c r="A901" s="12"/>
      <c r="B901" s="9" t="str">
        <f>IFERROR(__xludf.DUMMYFUNCTION("IF(A901&lt;&gt;"""", 
   IF(COUNTA(SPLIT(TRIM(A901), "" ""))=1, 
      LOWER(TRIM(A901)) &amp; ""@zupee.in"", 
      LOWER(INDEX(SPLIT(TRIM(A901), "" ""), 1)) &amp; ""."" &amp; LOWER(INDEX(SPLIT(TRIM(A901), "" ""), COUNTA(SPLIT(TRIM(A901), "" "")))) &amp; ""@zupee.in""
   ), 
"&amp;"   """")"),"")</f>
        <v/>
      </c>
      <c r="C901" s="10"/>
    </row>
    <row r="902" ht="15.75" customHeight="1">
      <c r="A902" s="12"/>
      <c r="B902" s="9" t="str">
        <f>IFERROR(__xludf.DUMMYFUNCTION("IF(A902&lt;&gt;"""", 
   IF(COUNTA(SPLIT(TRIM(A902), "" ""))=1, 
      LOWER(TRIM(A902)) &amp; ""@zupee.in"", 
      LOWER(INDEX(SPLIT(TRIM(A902), "" ""), 1)) &amp; ""."" &amp; LOWER(INDEX(SPLIT(TRIM(A902), "" ""), COUNTA(SPLIT(TRIM(A902), "" "")))) &amp; ""@zupee.in""
   ), 
"&amp;"   """")"),"")</f>
        <v/>
      </c>
      <c r="C902" s="10"/>
    </row>
    <row r="903" ht="15.75" customHeight="1">
      <c r="A903" s="12"/>
      <c r="B903" s="9" t="str">
        <f>IFERROR(__xludf.DUMMYFUNCTION("IF(A903&lt;&gt;"""", 
   IF(COUNTA(SPLIT(TRIM(A903), "" ""))=1, 
      LOWER(TRIM(A903)) &amp; ""@zupee.in"", 
      LOWER(INDEX(SPLIT(TRIM(A903), "" ""), 1)) &amp; ""."" &amp; LOWER(INDEX(SPLIT(TRIM(A903), "" ""), COUNTA(SPLIT(TRIM(A903), "" "")))) &amp; ""@zupee.in""
   ), 
"&amp;"   """")"),"")</f>
        <v/>
      </c>
      <c r="C903" s="10"/>
    </row>
    <row r="904" ht="15.75" customHeight="1">
      <c r="A904" s="12"/>
      <c r="B904" s="9" t="str">
        <f>IFERROR(__xludf.DUMMYFUNCTION("IF(A904&lt;&gt;"""", 
   IF(COUNTA(SPLIT(TRIM(A904), "" ""))=1, 
      LOWER(TRIM(A904)) &amp; ""@zupee.in"", 
      LOWER(INDEX(SPLIT(TRIM(A904), "" ""), 1)) &amp; ""."" &amp; LOWER(INDEX(SPLIT(TRIM(A904), "" ""), COUNTA(SPLIT(TRIM(A904), "" "")))) &amp; ""@zupee.in""
   ), 
"&amp;"   """")"),"")</f>
        <v/>
      </c>
      <c r="C904" s="10"/>
    </row>
    <row r="905" ht="15.75" customHeight="1">
      <c r="A905" s="12"/>
      <c r="B905" s="9" t="str">
        <f>IFERROR(__xludf.DUMMYFUNCTION("IF(A905&lt;&gt;"""", 
   IF(COUNTA(SPLIT(TRIM(A905), "" ""))=1, 
      LOWER(TRIM(A905)) &amp; ""@zupee.in"", 
      LOWER(INDEX(SPLIT(TRIM(A905), "" ""), 1)) &amp; ""."" &amp; LOWER(INDEX(SPLIT(TRIM(A905), "" ""), COUNTA(SPLIT(TRIM(A905), "" "")))) &amp; ""@zupee.in""
   ), 
"&amp;"   """")"),"")</f>
        <v/>
      </c>
      <c r="C905" s="10"/>
    </row>
    <row r="906" ht="15.75" customHeight="1">
      <c r="A906" s="12"/>
      <c r="B906" s="9" t="str">
        <f>IFERROR(__xludf.DUMMYFUNCTION("IF(A906&lt;&gt;"""", 
   IF(COUNTA(SPLIT(TRIM(A906), "" ""))=1, 
      LOWER(TRIM(A906)) &amp; ""@zupee.in"", 
      LOWER(INDEX(SPLIT(TRIM(A906), "" ""), 1)) &amp; ""."" &amp; LOWER(INDEX(SPLIT(TRIM(A906), "" ""), COUNTA(SPLIT(TRIM(A906), "" "")))) &amp; ""@zupee.in""
   ), 
"&amp;"   """")"),"")</f>
        <v/>
      </c>
      <c r="C906" s="10"/>
    </row>
    <row r="907" ht="15.75" customHeight="1">
      <c r="A907" s="12"/>
      <c r="B907" s="9" t="str">
        <f>IFERROR(__xludf.DUMMYFUNCTION("IF(A907&lt;&gt;"""", 
   IF(COUNTA(SPLIT(TRIM(A907), "" ""))=1, 
      LOWER(TRIM(A907)) &amp; ""@zupee.in"", 
      LOWER(INDEX(SPLIT(TRIM(A907), "" ""), 1)) &amp; ""."" &amp; LOWER(INDEX(SPLIT(TRIM(A907), "" ""), COUNTA(SPLIT(TRIM(A907), "" "")))) &amp; ""@zupee.in""
   ), 
"&amp;"   """")"),"")</f>
        <v/>
      </c>
      <c r="C907" s="10"/>
    </row>
    <row r="908" ht="15.75" customHeight="1">
      <c r="A908" s="12"/>
      <c r="B908" s="9" t="str">
        <f>IFERROR(__xludf.DUMMYFUNCTION("IF(A908&lt;&gt;"""", 
   IF(COUNTA(SPLIT(TRIM(A908), "" ""))=1, 
      LOWER(TRIM(A908)) &amp; ""@zupee.in"", 
      LOWER(INDEX(SPLIT(TRIM(A908), "" ""), 1)) &amp; ""."" &amp; LOWER(INDEX(SPLIT(TRIM(A908), "" ""), COUNTA(SPLIT(TRIM(A908), "" "")))) &amp; ""@zupee.in""
   ), 
"&amp;"   """")"),"")</f>
        <v/>
      </c>
      <c r="C908" s="10"/>
    </row>
    <row r="909" ht="15.75" customHeight="1">
      <c r="A909" s="12"/>
      <c r="B909" s="9" t="str">
        <f>IFERROR(__xludf.DUMMYFUNCTION("IF(A909&lt;&gt;"""", 
   IF(COUNTA(SPLIT(TRIM(A909), "" ""))=1, 
      LOWER(TRIM(A909)) &amp; ""@zupee.in"", 
      LOWER(INDEX(SPLIT(TRIM(A909), "" ""), 1)) &amp; ""."" &amp; LOWER(INDEX(SPLIT(TRIM(A909), "" ""), COUNTA(SPLIT(TRIM(A909), "" "")))) &amp; ""@zupee.in""
   ), 
"&amp;"   """")"),"")</f>
        <v/>
      </c>
      <c r="C909" s="10"/>
    </row>
    <row r="910" ht="15.75" customHeight="1">
      <c r="A910" s="12"/>
      <c r="B910" s="9" t="str">
        <f>IFERROR(__xludf.DUMMYFUNCTION("IF(A910&lt;&gt;"""", 
   IF(COUNTA(SPLIT(TRIM(A910), "" ""))=1, 
      LOWER(TRIM(A910)) &amp; ""@zupee.in"", 
      LOWER(INDEX(SPLIT(TRIM(A910), "" ""), 1)) &amp; ""."" &amp; LOWER(INDEX(SPLIT(TRIM(A910), "" ""), COUNTA(SPLIT(TRIM(A910), "" "")))) &amp; ""@zupee.in""
   ), 
"&amp;"   """")"),"")</f>
        <v/>
      </c>
      <c r="C910" s="10"/>
    </row>
    <row r="911" ht="15.75" customHeight="1">
      <c r="A911" s="12"/>
      <c r="B911" s="9" t="str">
        <f>IFERROR(__xludf.DUMMYFUNCTION("IF(A911&lt;&gt;"""", 
   IF(COUNTA(SPLIT(TRIM(A911), "" ""))=1, 
      LOWER(TRIM(A911)) &amp; ""@zupee.in"", 
      LOWER(INDEX(SPLIT(TRIM(A911), "" ""), 1)) &amp; ""."" &amp; LOWER(INDEX(SPLIT(TRIM(A911), "" ""), COUNTA(SPLIT(TRIM(A911), "" "")))) &amp; ""@zupee.in""
   ), 
"&amp;"   """")"),"")</f>
        <v/>
      </c>
      <c r="C911" s="10"/>
    </row>
    <row r="912" ht="15.75" customHeight="1">
      <c r="A912" s="12"/>
      <c r="B912" s="9" t="str">
        <f>IFERROR(__xludf.DUMMYFUNCTION("IF(A912&lt;&gt;"""", 
   IF(COUNTA(SPLIT(TRIM(A912), "" ""))=1, 
      LOWER(TRIM(A912)) &amp; ""@zupee.in"", 
      LOWER(INDEX(SPLIT(TRIM(A912), "" ""), 1)) &amp; ""."" &amp; LOWER(INDEX(SPLIT(TRIM(A912), "" ""), COUNTA(SPLIT(TRIM(A912), "" "")))) &amp; ""@zupee.in""
   ), 
"&amp;"   """")"),"")</f>
        <v/>
      </c>
      <c r="C912" s="10"/>
    </row>
    <row r="913" ht="15.75" customHeight="1">
      <c r="A913" s="12"/>
      <c r="B913" s="9" t="str">
        <f>IFERROR(__xludf.DUMMYFUNCTION("IF(A913&lt;&gt;"""", 
   IF(COUNTA(SPLIT(TRIM(A913), "" ""))=1, 
      LOWER(TRIM(A913)) &amp; ""@zupee.in"", 
      LOWER(INDEX(SPLIT(TRIM(A913), "" ""), 1)) &amp; ""."" &amp; LOWER(INDEX(SPLIT(TRIM(A913), "" ""), COUNTA(SPLIT(TRIM(A913), "" "")))) &amp; ""@zupee.in""
   ), 
"&amp;"   """")"),"")</f>
        <v/>
      </c>
      <c r="C913" s="10"/>
    </row>
    <row r="914" ht="15.75" customHeight="1">
      <c r="A914" s="12"/>
      <c r="B914" s="9" t="str">
        <f>IFERROR(__xludf.DUMMYFUNCTION("IF(A914&lt;&gt;"""", 
   IF(COUNTA(SPLIT(TRIM(A914), "" ""))=1, 
      LOWER(TRIM(A914)) &amp; ""@zupee.in"", 
      LOWER(INDEX(SPLIT(TRIM(A914), "" ""), 1)) &amp; ""."" &amp; LOWER(INDEX(SPLIT(TRIM(A914), "" ""), COUNTA(SPLIT(TRIM(A914), "" "")))) &amp; ""@zupee.in""
   ), 
"&amp;"   """")"),"")</f>
        <v/>
      </c>
      <c r="C914" s="10"/>
    </row>
    <row r="915" ht="15.75" customHeight="1">
      <c r="A915" s="12"/>
      <c r="B915" s="9" t="str">
        <f>IFERROR(__xludf.DUMMYFUNCTION("IF(A915&lt;&gt;"""", 
   IF(COUNTA(SPLIT(TRIM(A915), "" ""))=1, 
      LOWER(TRIM(A915)) &amp; ""@zupee.in"", 
      LOWER(INDEX(SPLIT(TRIM(A915), "" ""), 1)) &amp; ""."" &amp; LOWER(INDEX(SPLIT(TRIM(A915), "" ""), COUNTA(SPLIT(TRIM(A915), "" "")))) &amp; ""@zupee.in""
   ), 
"&amp;"   """")"),"")</f>
        <v/>
      </c>
      <c r="C915" s="10"/>
    </row>
    <row r="916" ht="15.75" customHeight="1">
      <c r="A916" s="12"/>
      <c r="B916" s="9" t="str">
        <f>IFERROR(__xludf.DUMMYFUNCTION("IF(A916&lt;&gt;"""", 
   IF(COUNTA(SPLIT(TRIM(A916), "" ""))=1, 
      LOWER(TRIM(A916)) &amp; ""@zupee.in"", 
      LOWER(INDEX(SPLIT(TRIM(A916), "" ""), 1)) &amp; ""."" &amp; LOWER(INDEX(SPLIT(TRIM(A916), "" ""), COUNTA(SPLIT(TRIM(A916), "" "")))) &amp; ""@zupee.in""
   ), 
"&amp;"   """")"),"")</f>
        <v/>
      </c>
      <c r="C916" s="10"/>
    </row>
    <row r="917" ht="15.75" customHeight="1">
      <c r="A917" s="12"/>
      <c r="B917" s="9" t="str">
        <f>IFERROR(__xludf.DUMMYFUNCTION("IF(A917&lt;&gt;"""", 
   IF(COUNTA(SPLIT(TRIM(A917), "" ""))=1, 
      LOWER(TRIM(A917)) &amp; ""@zupee.in"", 
      LOWER(INDEX(SPLIT(TRIM(A917), "" ""), 1)) &amp; ""."" &amp; LOWER(INDEX(SPLIT(TRIM(A917), "" ""), COUNTA(SPLIT(TRIM(A917), "" "")))) &amp; ""@zupee.in""
   ), 
"&amp;"   """")"),"")</f>
        <v/>
      </c>
      <c r="C917" s="10"/>
    </row>
    <row r="918" ht="15.75" customHeight="1">
      <c r="A918" s="12"/>
      <c r="B918" s="9" t="str">
        <f>IFERROR(__xludf.DUMMYFUNCTION("IF(A918&lt;&gt;"""", 
   IF(COUNTA(SPLIT(TRIM(A918), "" ""))=1, 
      LOWER(TRIM(A918)) &amp; ""@zupee.in"", 
      LOWER(INDEX(SPLIT(TRIM(A918), "" ""), 1)) &amp; ""."" &amp; LOWER(INDEX(SPLIT(TRIM(A918), "" ""), COUNTA(SPLIT(TRIM(A918), "" "")))) &amp; ""@zupee.in""
   ), 
"&amp;"   """")"),"")</f>
        <v/>
      </c>
      <c r="C918" s="10"/>
    </row>
    <row r="919" ht="15.75" customHeight="1">
      <c r="A919" s="12"/>
      <c r="B919" s="9" t="str">
        <f>IFERROR(__xludf.DUMMYFUNCTION("IF(A919&lt;&gt;"""", 
   IF(COUNTA(SPLIT(TRIM(A919), "" ""))=1, 
      LOWER(TRIM(A919)) &amp; ""@zupee.in"", 
      LOWER(INDEX(SPLIT(TRIM(A919), "" ""), 1)) &amp; ""."" &amp; LOWER(INDEX(SPLIT(TRIM(A919), "" ""), COUNTA(SPLIT(TRIM(A919), "" "")))) &amp; ""@zupee.in""
   ), 
"&amp;"   """")"),"")</f>
        <v/>
      </c>
      <c r="C919" s="10"/>
    </row>
    <row r="920" ht="15.75" customHeight="1">
      <c r="A920" s="12"/>
      <c r="B920" s="9" t="str">
        <f>IFERROR(__xludf.DUMMYFUNCTION("IF(A920&lt;&gt;"""", 
   IF(COUNTA(SPLIT(TRIM(A920), "" ""))=1, 
      LOWER(TRIM(A920)) &amp; ""@zupee.in"", 
      LOWER(INDEX(SPLIT(TRIM(A920), "" ""), 1)) &amp; ""."" &amp; LOWER(INDEX(SPLIT(TRIM(A920), "" ""), COUNTA(SPLIT(TRIM(A920), "" "")))) &amp; ""@zupee.in""
   ), 
"&amp;"   """")"),"")</f>
        <v/>
      </c>
      <c r="C920" s="10"/>
    </row>
    <row r="921" ht="15.75" customHeight="1">
      <c r="A921" s="12"/>
      <c r="B921" s="9" t="str">
        <f>IFERROR(__xludf.DUMMYFUNCTION("IF(A921&lt;&gt;"""", 
   IF(COUNTA(SPLIT(TRIM(A921), "" ""))=1, 
      LOWER(TRIM(A921)) &amp; ""@zupee.in"", 
      LOWER(INDEX(SPLIT(TRIM(A921), "" ""), 1)) &amp; ""."" &amp; LOWER(INDEX(SPLIT(TRIM(A921), "" ""), COUNTA(SPLIT(TRIM(A921), "" "")))) &amp; ""@zupee.in""
   ), 
"&amp;"   """")"),"")</f>
        <v/>
      </c>
      <c r="C921" s="10"/>
    </row>
    <row r="922" ht="15.75" customHeight="1">
      <c r="A922" s="12"/>
      <c r="B922" s="9" t="str">
        <f>IFERROR(__xludf.DUMMYFUNCTION("IF(A922&lt;&gt;"""", 
   IF(COUNTA(SPLIT(TRIM(A922), "" ""))=1, 
      LOWER(TRIM(A922)) &amp; ""@zupee.in"", 
      LOWER(INDEX(SPLIT(TRIM(A922), "" ""), 1)) &amp; ""."" &amp; LOWER(INDEX(SPLIT(TRIM(A922), "" ""), COUNTA(SPLIT(TRIM(A922), "" "")))) &amp; ""@zupee.in""
   ), 
"&amp;"   """")"),"")</f>
        <v/>
      </c>
      <c r="C922" s="10"/>
    </row>
    <row r="923" ht="15.75" customHeight="1">
      <c r="A923" s="12"/>
      <c r="B923" s="9" t="str">
        <f>IFERROR(__xludf.DUMMYFUNCTION("IF(A923&lt;&gt;"""", 
   IF(COUNTA(SPLIT(TRIM(A923), "" ""))=1, 
      LOWER(TRIM(A923)) &amp; ""@zupee.in"", 
      LOWER(INDEX(SPLIT(TRIM(A923), "" ""), 1)) &amp; ""."" &amp; LOWER(INDEX(SPLIT(TRIM(A923), "" ""), COUNTA(SPLIT(TRIM(A923), "" "")))) &amp; ""@zupee.in""
   ), 
"&amp;"   """")"),"")</f>
        <v/>
      </c>
      <c r="C923" s="10"/>
    </row>
    <row r="924" ht="15.75" customHeight="1">
      <c r="A924" s="12"/>
      <c r="B924" s="9" t="str">
        <f>IFERROR(__xludf.DUMMYFUNCTION("IF(A924&lt;&gt;"""", 
   IF(COUNTA(SPLIT(TRIM(A924), "" ""))=1, 
      LOWER(TRIM(A924)) &amp; ""@zupee.in"", 
      LOWER(INDEX(SPLIT(TRIM(A924), "" ""), 1)) &amp; ""."" &amp; LOWER(INDEX(SPLIT(TRIM(A924), "" ""), COUNTA(SPLIT(TRIM(A924), "" "")))) &amp; ""@zupee.in""
   ), 
"&amp;"   """")"),"")</f>
        <v/>
      </c>
      <c r="C924" s="10"/>
    </row>
    <row r="925" ht="15.75" customHeight="1">
      <c r="A925" s="12"/>
      <c r="B925" s="9" t="str">
        <f>IFERROR(__xludf.DUMMYFUNCTION("IF(A925&lt;&gt;"""", 
   IF(COUNTA(SPLIT(TRIM(A925), "" ""))=1, 
      LOWER(TRIM(A925)) &amp; ""@zupee.in"", 
      LOWER(INDEX(SPLIT(TRIM(A925), "" ""), 1)) &amp; ""."" &amp; LOWER(INDEX(SPLIT(TRIM(A925), "" ""), COUNTA(SPLIT(TRIM(A925), "" "")))) &amp; ""@zupee.in""
   ), 
"&amp;"   """")"),"")</f>
        <v/>
      </c>
      <c r="C925" s="10"/>
    </row>
    <row r="926" ht="15.75" customHeight="1">
      <c r="A926" s="12"/>
      <c r="B926" s="9" t="str">
        <f>IFERROR(__xludf.DUMMYFUNCTION("IF(A926&lt;&gt;"""", 
   IF(COUNTA(SPLIT(TRIM(A926), "" ""))=1, 
      LOWER(TRIM(A926)) &amp; ""@zupee.in"", 
      LOWER(INDEX(SPLIT(TRIM(A926), "" ""), 1)) &amp; ""."" &amp; LOWER(INDEX(SPLIT(TRIM(A926), "" ""), COUNTA(SPLIT(TRIM(A926), "" "")))) &amp; ""@zupee.in""
   ), 
"&amp;"   """")"),"")</f>
        <v/>
      </c>
      <c r="C926" s="10"/>
    </row>
    <row r="927" ht="15.75" customHeight="1">
      <c r="A927" s="12"/>
      <c r="B927" s="9" t="str">
        <f>IFERROR(__xludf.DUMMYFUNCTION("IF(A927&lt;&gt;"""", 
   IF(COUNTA(SPLIT(TRIM(A927), "" ""))=1, 
      LOWER(TRIM(A927)) &amp; ""@zupee.in"", 
      LOWER(INDEX(SPLIT(TRIM(A927), "" ""), 1)) &amp; ""."" &amp; LOWER(INDEX(SPLIT(TRIM(A927), "" ""), COUNTA(SPLIT(TRIM(A927), "" "")))) &amp; ""@zupee.in""
   ), 
"&amp;"   """")"),"")</f>
        <v/>
      </c>
      <c r="C927" s="10"/>
    </row>
    <row r="928" ht="15.75" customHeight="1">
      <c r="A928" s="12"/>
      <c r="B928" s="9" t="str">
        <f>IFERROR(__xludf.DUMMYFUNCTION("IF(A928&lt;&gt;"""", 
   IF(COUNTA(SPLIT(TRIM(A928), "" ""))=1, 
      LOWER(TRIM(A928)) &amp; ""@zupee.in"", 
      LOWER(INDEX(SPLIT(TRIM(A928), "" ""), 1)) &amp; ""."" &amp; LOWER(INDEX(SPLIT(TRIM(A928), "" ""), COUNTA(SPLIT(TRIM(A928), "" "")))) &amp; ""@zupee.in""
   ), 
"&amp;"   """")"),"")</f>
        <v/>
      </c>
      <c r="C928" s="10"/>
    </row>
    <row r="929" ht="15.75" customHeight="1">
      <c r="A929" s="12"/>
      <c r="B929" s="9" t="str">
        <f>IFERROR(__xludf.DUMMYFUNCTION("IF(A929&lt;&gt;"""", 
   IF(COUNTA(SPLIT(TRIM(A929), "" ""))=1, 
      LOWER(TRIM(A929)) &amp; ""@zupee.in"", 
      LOWER(INDEX(SPLIT(TRIM(A929), "" ""), 1)) &amp; ""."" &amp; LOWER(INDEX(SPLIT(TRIM(A929), "" ""), COUNTA(SPLIT(TRIM(A929), "" "")))) &amp; ""@zupee.in""
   ), 
"&amp;"   """")"),"")</f>
        <v/>
      </c>
      <c r="C929" s="10"/>
    </row>
    <row r="930" ht="15.75" customHeight="1">
      <c r="A930" s="12"/>
      <c r="B930" s="9" t="str">
        <f>IFERROR(__xludf.DUMMYFUNCTION("IF(A930&lt;&gt;"""", 
   IF(COUNTA(SPLIT(TRIM(A930), "" ""))=1, 
      LOWER(TRIM(A930)) &amp; ""@zupee.in"", 
      LOWER(INDEX(SPLIT(TRIM(A930), "" ""), 1)) &amp; ""."" &amp; LOWER(INDEX(SPLIT(TRIM(A930), "" ""), COUNTA(SPLIT(TRIM(A930), "" "")))) &amp; ""@zupee.in""
   ), 
"&amp;"   """")"),"")</f>
        <v/>
      </c>
      <c r="C930" s="10"/>
    </row>
    <row r="931" ht="15.75" customHeight="1">
      <c r="A931" s="12"/>
      <c r="B931" s="9" t="str">
        <f>IFERROR(__xludf.DUMMYFUNCTION("IF(A931&lt;&gt;"""", 
   IF(COUNTA(SPLIT(TRIM(A931), "" ""))=1, 
      LOWER(TRIM(A931)) &amp; ""@zupee.in"", 
      LOWER(INDEX(SPLIT(TRIM(A931), "" ""), 1)) &amp; ""."" &amp; LOWER(INDEX(SPLIT(TRIM(A931), "" ""), COUNTA(SPLIT(TRIM(A931), "" "")))) &amp; ""@zupee.in""
   ), 
"&amp;"   """")"),"")</f>
        <v/>
      </c>
      <c r="C931" s="10"/>
    </row>
    <row r="932" ht="15.75" customHeight="1">
      <c r="A932" s="12"/>
      <c r="B932" s="9" t="str">
        <f>IFERROR(__xludf.DUMMYFUNCTION("IF(A932&lt;&gt;"""", 
   IF(COUNTA(SPLIT(TRIM(A932), "" ""))=1, 
      LOWER(TRIM(A932)) &amp; ""@zupee.in"", 
      LOWER(INDEX(SPLIT(TRIM(A932), "" ""), 1)) &amp; ""."" &amp; LOWER(INDEX(SPLIT(TRIM(A932), "" ""), COUNTA(SPLIT(TRIM(A932), "" "")))) &amp; ""@zupee.in""
   ), 
"&amp;"   """")"),"")</f>
        <v/>
      </c>
      <c r="C932" s="10"/>
    </row>
    <row r="933" ht="15.75" customHeight="1">
      <c r="A933" s="12"/>
      <c r="B933" s="9" t="str">
        <f>IFERROR(__xludf.DUMMYFUNCTION("IF(A933&lt;&gt;"""", 
   IF(COUNTA(SPLIT(TRIM(A933), "" ""))=1, 
      LOWER(TRIM(A933)) &amp; ""@zupee.in"", 
      LOWER(INDEX(SPLIT(TRIM(A933), "" ""), 1)) &amp; ""."" &amp; LOWER(INDEX(SPLIT(TRIM(A933), "" ""), COUNTA(SPLIT(TRIM(A933), "" "")))) &amp; ""@zupee.in""
   ), 
"&amp;"   """")"),"")</f>
        <v/>
      </c>
      <c r="C933" s="10"/>
    </row>
    <row r="934" ht="15.75" customHeight="1">
      <c r="A934" s="12"/>
      <c r="B934" s="9" t="str">
        <f>IFERROR(__xludf.DUMMYFUNCTION("IF(A934&lt;&gt;"""", 
   IF(COUNTA(SPLIT(TRIM(A934), "" ""))=1, 
      LOWER(TRIM(A934)) &amp; ""@zupee.in"", 
      LOWER(INDEX(SPLIT(TRIM(A934), "" ""), 1)) &amp; ""."" &amp; LOWER(INDEX(SPLIT(TRIM(A934), "" ""), COUNTA(SPLIT(TRIM(A934), "" "")))) &amp; ""@zupee.in""
   ), 
"&amp;"   """")"),"")</f>
        <v/>
      </c>
      <c r="C934" s="10"/>
    </row>
    <row r="935" ht="15.75" customHeight="1">
      <c r="A935" s="12"/>
      <c r="B935" s="9" t="str">
        <f>IFERROR(__xludf.DUMMYFUNCTION("IF(A935&lt;&gt;"""", 
   IF(COUNTA(SPLIT(TRIM(A935), "" ""))=1, 
      LOWER(TRIM(A935)) &amp; ""@zupee.in"", 
      LOWER(INDEX(SPLIT(TRIM(A935), "" ""), 1)) &amp; ""."" &amp; LOWER(INDEX(SPLIT(TRIM(A935), "" ""), COUNTA(SPLIT(TRIM(A935), "" "")))) &amp; ""@zupee.in""
   ), 
"&amp;"   """")"),"")</f>
        <v/>
      </c>
      <c r="C935" s="10"/>
    </row>
    <row r="936" ht="15.75" customHeight="1">
      <c r="A936" s="12"/>
      <c r="B936" s="9" t="str">
        <f>IFERROR(__xludf.DUMMYFUNCTION("IF(A936&lt;&gt;"""", 
   IF(COUNTA(SPLIT(TRIM(A936), "" ""))=1, 
      LOWER(TRIM(A936)) &amp; ""@zupee.in"", 
      LOWER(INDEX(SPLIT(TRIM(A936), "" ""), 1)) &amp; ""."" &amp; LOWER(INDEX(SPLIT(TRIM(A936), "" ""), COUNTA(SPLIT(TRIM(A936), "" "")))) &amp; ""@zupee.in""
   ), 
"&amp;"   """")"),"")</f>
        <v/>
      </c>
      <c r="C936" s="10"/>
    </row>
    <row r="937" ht="15.75" customHeight="1">
      <c r="A937" s="12"/>
      <c r="B937" s="9" t="str">
        <f>IFERROR(__xludf.DUMMYFUNCTION("IF(A937&lt;&gt;"""", 
   IF(COUNTA(SPLIT(TRIM(A937), "" ""))=1, 
      LOWER(TRIM(A937)) &amp; ""@zupee.in"", 
      LOWER(INDEX(SPLIT(TRIM(A937), "" ""), 1)) &amp; ""."" &amp; LOWER(INDEX(SPLIT(TRIM(A937), "" ""), COUNTA(SPLIT(TRIM(A937), "" "")))) &amp; ""@zupee.in""
   ), 
"&amp;"   """")"),"")</f>
        <v/>
      </c>
      <c r="C937" s="10"/>
    </row>
    <row r="938" ht="15.75" customHeight="1">
      <c r="A938" s="12"/>
      <c r="B938" s="9" t="str">
        <f>IFERROR(__xludf.DUMMYFUNCTION("IF(A938&lt;&gt;"""", 
   IF(COUNTA(SPLIT(TRIM(A938), "" ""))=1, 
      LOWER(TRIM(A938)) &amp; ""@zupee.in"", 
      LOWER(INDEX(SPLIT(TRIM(A938), "" ""), 1)) &amp; ""."" &amp; LOWER(INDEX(SPLIT(TRIM(A938), "" ""), COUNTA(SPLIT(TRIM(A938), "" "")))) &amp; ""@zupee.in""
   ), 
"&amp;"   """")"),"")</f>
        <v/>
      </c>
      <c r="C938" s="10"/>
    </row>
    <row r="939" ht="15.75" customHeight="1">
      <c r="A939" s="12"/>
      <c r="B939" s="9" t="str">
        <f>IFERROR(__xludf.DUMMYFUNCTION("IF(A939&lt;&gt;"""", 
   IF(COUNTA(SPLIT(TRIM(A939), "" ""))=1, 
      LOWER(TRIM(A939)) &amp; ""@zupee.in"", 
      LOWER(INDEX(SPLIT(TRIM(A939), "" ""), 1)) &amp; ""."" &amp; LOWER(INDEX(SPLIT(TRIM(A939), "" ""), COUNTA(SPLIT(TRIM(A939), "" "")))) &amp; ""@zupee.in""
   ), 
"&amp;"   """")"),"")</f>
        <v/>
      </c>
      <c r="C939" s="10"/>
    </row>
    <row r="940" ht="15.75" customHeight="1">
      <c r="A940" s="12"/>
      <c r="B940" s="9" t="str">
        <f>IFERROR(__xludf.DUMMYFUNCTION("IF(A940&lt;&gt;"""", 
   IF(COUNTA(SPLIT(TRIM(A940), "" ""))=1, 
      LOWER(TRIM(A940)) &amp; ""@zupee.in"", 
      LOWER(INDEX(SPLIT(TRIM(A940), "" ""), 1)) &amp; ""."" &amp; LOWER(INDEX(SPLIT(TRIM(A940), "" ""), COUNTA(SPLIT(TRIM(A940), "" "")))) &amp; ""@zupee.in""
   ), 
"&amp;"   """")"),"")</f>
        <v/>
      </c>
      <c r="C940" s="10"/>
    </row>
    <row r="941" ht="15.75" customHeight="1">
      <c r="A941" s="12"/>
      <c r="B941" s="9" t="str">
        <f>IFERROR(__xludf.DUMMYFUNCTION("IF(A941&lt;&gt;"""", 
   IF(COUNTA(SPLIT(TRIM(A941), "" ""))=1, 
      LOWER(TRIM(A941)) &amp; ""@zupee.in"", 
      LOWER(INDEX(SPLIT(TRIM(A941), "" ""), 1)) &amp; ""."" &amp; LOWER(INDEX(SPLIT(TRIM(A941), "" ""), COUNTA(SPLIT(TRIM(A941), "" "")))) &amp; ""@zupee.in""
   ), 
"&amp;"   """")"),"")</f>
        <v/>
      </c>
      <c r="C941" s="10"/>
    </row>
    <row r="942" ht="15.75" customHeight="1">
      <c r="A942" s="12"/>
      <c r="B942" s="9" t="str">
        <f>IFERROR(__xludf.DUMMYFUNCTION("IF(A942&lt;&gt;"""", 
   IF(COUNTA(SPLIT(TRIM(A942), "" ""))=1, 
      LOWER(TRIM(A942)) &amp; ""@zupee.in"", 
      LOWER(INDEX(SPLIT(TRIM(A942), "" ""), 1)) &amp; ""."" &amp; LOWER(INDEX(SPLIT(TRIM(A942), "" ""), COUNTA(SPLIT(TRIM(A942), "" "")))) &amp; ""@zupee.in""
   ), 
"&amp;"   """")"),"")</f>
        <v/>
      </c>
      <c r="C942" s="10"/>
    </row>
    <row r="943" ht="15.75" customHeight="1">
      <c r="A943" s="12"/>
      <c r="B943" s="9" t="str">
        <f>IFERROR(__xludf.DUMMYFUNCTION("IF(A943&lt;&gt;"""", 
   IF(COUNTA(SPLIT(TRIM(A943), "" ""))=1, 
      LOWER(TRIM(A943)) &amp; ""@zupee.in"", 
      LOWER(INDEX(SPLIT(TRIM(A943), "" ""), 1)) &amp; ""."" &amp; LOWER(INDEX(SPLIT(TRIM(A943), "" ""), COUNTA(SPLIT(TRIM(A943), "" "")))) &amp; ""@zupee.in""
   ), 
"&amp;"   """")"),"")</f>
        <v/>
      </c>
      <c r="C943" s="10"/>
    </row>
    <row r="944" ht="15.75" customHeight="1">
      <c r="A944" s="12"/>
      <c r="B944" s="9" t="str">
        <f>IFERROR(__xludf.DUMMYFUNCTION("IF(A944&lt;&gt;"""", 
   IF(COUNTA(SPLIT(TRIM(A944), "" ""))=1, 
      LOWER(TRIM(A944)) &amp; ""@zupee.in"", 
      LOWER(INDEX(SPLIT(TRIM(A944), "" ""), 1)) &amp; ""."" &amp; LOWER(INDEX(SPLIT(TRIM(A944), "" ""), COUNTA(SPLIT(TRIM(A944), "" "")))) &amp; ""@zupee.in""
   ), 
"&amp;"   """")"),"")</f>
        <v/>
      </c>
      <c r="C944" s="10"/>
    </row>
    <row r="945" ht="15.75" customHeight="1">
      <c r="A945" s="12"/>
      <c r="B945" s="9" t="str">
        <f>IFERROR(__xludf.DUMMYFUNCTION("IF(A945&lt;&gt;"""", 
   IF(COUNTA(SPLIT(TRIM(A945), "" ""))=1, 
      LOWER(TRIM(A945)) &amp; ""@zupee.in"", 
      LOWER(INDEX(SPLIT(TRIM(A945), "" ""), 1)) &amp; ""."" &amp; LOWER(INDEX(SPLIT(TRIM(A945), "" ""), COUNTA(SPLIT(TRIM(A945), "" "")))) &amp; ""@zupee.in""
   ), 
"&amp;"   """")"),"")</f>
        <v/>
      </c>
      <c r="C945" s="10"/>
    </row>
    <row r="946" ht="15.75" customHeight="1">
      <c r="A946" s="12"/>
      <c r="B946" s="9" t="str">
        <f>IFERROR(__xludf.DUMMYFUNCTION("IF(A946&lt;&gt;"""", 
   IF(COUNTA(SPLIT(TRIM(A946), "" ""))=1, 
      LOWER(TRIM(A946)) &amp; ""@zupee.in"", 
      LOWER(INDEX(SPLIT(TRIM(A946), "" ""), 1)) &amp; ""."" &amp; LOWER(INDEX(SPLIT(TRIM(A946), "" ""), COUNTA(SPLIT(TRIM(A946), "" "")))) &amp; ""@zupee.in""
   ), 
"&amp;"   """")"),"")</f>
        <v/>
      </c>
      <c r="C946" s="10"/>
    </row>
    <row r="947" ht="15.75" customHeight="1">
      <c r="A947" s="12"/>
      <c r="B947" s="9" t="str">
        <f>IFERROR(__xludf.DUMMYFUNCTION("IF(A947&lt;&gt;"""", 
   IF(COUNTA(SPLIT(TRIM(A947), "" ""))=1, 
      LOWER(TRIM(A947)) &amp; ""@zupee.in"", 
      LOWER(INDEX(SPLIT(TRIM(A947), "" ""), 1)) &amp; ""."" &amp; LOWER(INDEX(SPLIT(TRIM(A947), "" ""), COUNTA(SPLIT(TRIM(A947), "" "")))) &amp; ""@zupee.in""
   ), 
"&amp;"   """")"),"")</f>
        <v/>
      </c>
      <c r="C947" s="10"/>
    </row>
    <row r="948" ht="15.75" customHeight="1">
      <c r="A948" s="12"/>
      <c r="B948" s="9" t="str">
        <f>IFERROR(__xludf.DUMMYFUNCTION("IF(A948&lt;&gt;"""", 
   IF(COUNTA(SPLIT(TRIM(A948), "" ""))=1, 
      LOWER(TRIM(A948)) &amp; ""@zupee.in"", 
      LOWER(INDEX(SPLIT(TRIM(A948), "" ""), 1)) &amp; ""."" &amp; LOWER(INDEX(SPLIT(TRIM(A948), "" ""), COUNTA(SPLIT(TRIM(A948), "" "")))) &amp; ""@zupee.in""
   ), 
"&amp;"   """")"),"")</f>
        <v/>
      </c>
      <c r="C948" s="10"/>
    </row>
    <row r="949" ht="15.75" customHeight="1">
      <c r="A949" s="12"/>
      <c r="B949" s="9" t="str">
        <f>IFERROR(__xludf.DUMMYFUNCTION("IF(A949&lt;&gt;"""", 
   IF(COUNTA(SPLIT(TRIM(A949), "" ""))=1, 
      LOWER(TRIM(A949)) &amp; ""@zupee.in"", 
      LOWER(INDEX(SPLIT(TRIM(A949), "" ""), 1)) &amp; ""."" &amp; LOWER(INDEX(SPLIT(TRIM(A949), "" ""), COUNTA(SPLIT(TRIM(A949), "" "")))) &amp; ""@zupee.in""
   ), 
"&amp;"   """")"),"")</f>
        <v/>
      </c>
      <c r="C949" s="10"/>
    </row>
    <row r="950" ht="15.75" customHeight="1">
      <c r="A950" s="12"/>
      <c r="B950" s="9" t="str">
        <f>IFERROR(__xludf.DUMMYFUNCTION("IF(A950&lt;&gt;"""", 
   IF(COUNTA(SPLIT(TRIM(A950), "" ""))=1, 
      LOWER(TRIM(A950)) &amp; ""@zupee.in"", 
      LOWER(INDEX(SPLIT(TRIM(A950), "" ""), 1)) &amp; ""."" &amp; LOWER(INDEX(SPLIT(TRIM(A950), "" ""), COUNTA(SPLIT(TRIM(A950), "" "")))) &amp; ""@zupee.in""
   ), 
"&amp;"   """")"),"")</f>
        <v/>
      </c>
      <c r="C950" s="10"/>
    </row>
    <row r="951" ht="15.75" customHeight="1">
      <c r="A951" s="12"/>
      <c r="B951" s="9" t="str">
        <f>IFERROR(__xludf.DUMMYFUNCTION("IF(A951&lt;&gt;"""", 
   IF(COUNTA(SPLIT(TRIM(A951), "" ""))=1, 
      LOWER(TRIM(A951)) &amp; ""@zupee.in"", 
      LOWER(INDEX(SPLIT(TRIM(A951), "" ""), 1)) &amp; ""."" &amp; LOWER(INDEX(SPLIT(TRIM(A951), "" ""), COUNTA(SPLIT(TRIM(A951), "" "")))) &amp; ""@zupee.in""
   ), 
"&amp;"   """")"),"")</f>
        <v/>
      </c>
      <c r="C951" s="10"/>
    </row>
    <row r="952" ht="15.75" customHeight="1">
      <c r="A952" s="12"/>
      <c r="B952" s="9" t="str">
        <f>IFERROR(__xludf.DUMMYFUNCTION("IF(A952&lt;&gt;"""", 
   IF(COUNTA(SPLIT(TRIM(A952), "" ""))=1, 
      LOWER(TRIM(A952)) &amp; ""@zupee.in"", 
      LOWER(INDEX(SPLIT(TRIM(A952), "" ""), 1)) &amp; ""."" &amp; LOWER(INDEX(SPLIT(TRIM(A952), "" ""), COUNTA(SPLIT(TRIM(A952), "" "")))) &amp; ""@zupee.in""
   ), 
"&amp;"   """")"),"")</f>
        <v/>
      </c>
      <c r="C952" s="10"/>
    </row>
    <row r="953" ht="15.75" customHeight="1">
      <c r="A953" s="12"/>
      <c r="B953" s="9" t="str">
        <f>IFERROR(__xludf.DUMMYFUNCTION("IF(A953&lt;&gt;"""", 
   IF(COUNTA(SPLIT(TRIM(A953), "" ""))=1, 
      LOWER(TRIM(A953)) &amp; ""@zupee.in"", 
      LOWER(INDEX(SPLIT(TRIM(A953), "" ""), 1)) &amp; ""."" &amp; LOWER(INDEX(SPLIT(TRIM(A953), "" ""), COUNTA(SPLIT(TRIM(A953), "" "")))) &amp; ""@zupee.in""
   ), 
"&amp;"   """")"),"")</f>
        <v/>
      </c>
      <c r="C953" s="10"/>
    </row>
    <row r="954" ht="15.75" customHeight="1">
      <c r="A954" s="12"/>
      <c r="B954" s="9" t="str">
        <f>IFERROR(__xludf.DUMMYFUNCTION("IF(A954&lt;&gt;"""", 
   IF(COUNTA(SPLIT(TRIM(A954), "" ""))=1, 
      LOWER(TRIM(A954)) &amp; ""@zupee.in"", 
      LOWER(INDEX(SPLIT(TRIM(A954), "" ""), 1)) &amp; ""."" &amp; LOWER(INDEX(SPLIT(TRIM(A954), "" ""), COUNTA(SPLIT(TRIM(A954), "" "")))) &amp; ""@zupee.in""
   ), 
"&amp;"   """")"),"")</f>
        <v/>
      </c>
      <c r="C954" s="10"/>
    </row>
    <row r="955" ht="15.75" customHeight="1">
      <c r="A955" s="12"/>
      <c r="B955" s="9" t="str">
        <f>IFERROR(__xludf.DUMMYFUNCTION("IF(A955&lt;&gt;"""", 
   IF(COUNTA(SPLIT(TRIM(A955), "" ""))=1, 
      LOWER(TRIM(A955)) &amp; ""@zupee.in"", 
      LOWER(INDEX(SPLIT(TRIM(A955), "" ""), 1)) &amp; ""."" &amp; LOWER(INDEX(SPLIT(TRIM(A955), "" ""), COUNTA(SPLIT(TRIM(A955), "" "")))) &amp; ""@zupee.in""
   ), 
"&amp;"   """")"),"")</f>
        <v/>
      </c>
      <c r="C955" s="10"/>
    </row>
    <row r="956" ht="15.75" customHeight="1">
      <c r="A956" s="12"/>
      <c r="B956" s="9" t="str">
        <f>IFERROR(__xludf.DUMMYFUNCTION("IF(A956&lt;&gt;"""", 
   IF(COUNTA(SPLIT(TRIM(A956), "" ""))=1, 
      LOWER(TRIM(A956)) &amp; ""@zupee.in"", 
      LOWER(INDEX(SPLIT(TRIM(A956), "" ""), 1)) &amp; ""."" &amp; LOWER(INDEX(SPLIT(TRIM(A956), "" ""), COUNTA(SPLIT(TRIM(A956), "" "")))) &amp; ""@zupee.in""
   ), 
"&amp;"   """")"),"")</f>
        <v/>
      </c>
      <c r="C956" s="10"/>
    </row>
    <row r="957" ht="15.75" customHeight="1">
      <c r="A957" s="12"/>
      <c r="B957" s="9" t="str">
        <f>IFERROR(__xludf.DUMMYFUNCTION("IF(A957&lt;&gt;"""", 
   IF(COUNTA(SPLIT(TRIM(A957), "" ""))=1, 
      LOWER(TRIM(A957)) &amp; ""@zupee.in"", 
      LOWER(INDEX(SPLIT(TRIM(A957), "" ""), 1)) &amp; ""."" &amp; LOWER(INDEX(SPLIT(TRIM(A957), "" ""), COUNTA(SPLIT(TRIM(A957), "" "")))) &amp; ""@zupee.in""
   ), 
"&amp;"   """")"),"")</f>
        <v/>
      </c>
      <c r="C957" s="10"/>
    </row>
    <row r="958" ht="15.75" customHeight="1">
      <c r="A958" s="12"/>
      <c r="B958" s="9" t="str">
        <f>IFERROR(__xludf.DUMMYFUNCTION("IF(A958&lt;&gt;"""", 
   IF(COUNTA(SPLIT(TRIM(A958), "" ""))=1, 
      LOWER(TRIM(A958)) &amp; ""@zupee.in"", 
      LOWER(INDEX(SPLIT(TRIM(A958), "" ""), 1)) &amp; ""."" &amp; LOWER(INDEX(SPLIT(TRIM(A958), "" ""), COUNTA(SPLIT(TRIM(A958), "" "")))) &amp; ""@zupee.in""
   ), 
"&amp;"   """")"),"")</f>
        <v/>
      </c>
      <c r="C958" s="10"/>
    </row>
    <row r="959" ht="15.75" customHeight="1">
      <c r="A959" s="12"/>
      <c r="B959" s="9" t="str">
        <f>IFERROR(__xludf.DUMMYFUNCTION("IF(A959&lt;&gt;"""", 
   IF(COUNTA(SPLIT(TRIM(A959), "" ""))=1, 
      LOWER(TRIM(A959)) &amp; ""@zupee.in"", 
      LOWER(INDEX(SPLIT(TRIM(A959), "" ""), 1)) &amp; ""."" &amp; LOWER(INDEX(SPLIT(TRIM(A959), "" ""), COUNTA(SPLIT(TRIM(A959), "" "")))) &amp; ""@zupee.in""
   ), 
"&amp;"   """")"),"")</f>
        <v/>
      </c>
      <c r="C959" s="10"/>
    </row>
    <row r="960" ht="15.75" customHeight="1">
      <c r="A960" s="12"/>
      <c r="B960" s="9" t="str">
        <f>IFERROR(__xludf.DUMMYFUNCTION("IF(A960&lt;&gt;"""", 
   IF(COUNTA(SPLIT(TRIM(A960), "" ""))=1, 
      LOWER(TRIM(A960)) &amp; ""@zupee.in"", 
      LOWER(INDEX(SPLIT(TRIM(A960), "" ""), 1)) &amp; ""."" &amp; LOWER(INDEX(SPLIT(TRIM(A960), "" ""), COUNTA(SPLIT(TRIM(A960), "" "")))) &amp; ""@zupee.in""
   ), 
"&amp;"   """")"),"")</f>
        <v/>
      </c>
      <c r="C960" s="10"/>
    </row>
    <row r="961" ht="15.75" customHeight="1">
      <c r="A961" s="12"/>
      <c r="B961" s="9" t="str">
        <f>IFERROR(__xludf.DUMMYFUNCTION("IF(A961&lt;&gt;"""", 
   IF(COUNTA(SPLIT(TRIM(A961), "" ""))=1, 
      LOWER(TRIM(A961)) &amp; ""@zupee.in"", 
      LOWER(INDEX(SPLIT(TRIM(A961), "" ""), 1)) &amp; ""."" &amp; LOWER(INDEX(SPLIT(TRIM(A961), "" ""), COUNTA(SPLIT(TRIM(A961), "" "")))) &amp; ""@zupee.in""
   ), 
"&amp;"   """")"),"")</f>
        <v/>
      </c>
      <c r="C961" s="10"/>
    </row>
    <row r="962" ht="15.75" customHeight="1">
      <c r="A962" s="12"/>
      <c r="B962" s="9" t="str">
        <f>IFERROR(__xludf.DUMMYFUNCTION("IF(A962&lt;&gt;"""", 
   IF(COUNTA(SPLIT(TRIM(A962), "" ""))=1, 
      LOWER(TRIM(A962)) &amp; ""@zupee.in"", 
      LOWER(INDEX(SPLIT(TRIM(A962), "" ""), 1)) &amp; ""."" &amp; LOWER(INDEX(SPLIT(TRIM(A962), "" ""), COUNTA(SPLIT(TRIM(A962), "" "")))) &amp; ""@zupee.in""
   ), 
"&amp;"   """")"),"")</f>
        <v/>
      </c>
      <c r="C962" s="10"/>
    </row>
    <row r="963" ht="15.75" customHeight="1">
      <c r="A963" s="12"/>
      <c r="B963" s="9" t="str">
        <f>IFERROR(__xludf.DUMMYFUNCTION("IF(A963&lt;&gt;"""", 
   IF(COUNTA(SPLIT(TRIM(A963), "" ""))=1, 
      LOWER(TRIM(A963)) &amp; ""@zupee.in"", 
      LOWER(INDEX(SPLIT(TRIM(A963), "" ""), 1)) &amp; ""."" &amp; LOWER(INDEX(SPLIT(TRIM(A963), "" ""), COUNTA(SPLIT(TRIM(A963), "" "")))) &amp; ""@zupee.in""
   ), 
"&amp;"   """")"),"")</f>
        <v/>
      </c>
      <c r="C963" s="10"/>
    </row>
    <row r="964" ht="15.75" customHeight="1">
      <c r="A964" s="12"/>
      <c r="B964" s="9" t="str">
        <f>IFERROR(__xludf.DUMMYFUNCTION("IF(A964&lt;&gt;"""", 
   IF(COUNTA(SPLIT(TRIM(A964), "" ""))=1, 
      LOWER(TRIM(A964)) &amp; ""@zupee.in"", 
      LOWER(INDEX(SPLIT(TRIM(A964), "" ""), 1)) &amp; ""."" &amp; LOWER(INDEX(SPLIT(TRIM(A964), "" ""), COUNTA(SPLIT(TRIM(A964), "" "")))) &amp; ""@zupee.in""
   ), 
"&amp;"   """")"),"")</f>
        <v/>
      </c>
      <c r="C964" s="10"/>
    </row>
    <row r="965" ht="15.75" customHeight="1">
      <c r="A965" s="12"/>
      <c r="B965" s="9" t="str">
        <f>IFERROR(__xludf.DUMMYFUNCTION("IF(A965&lt;&gt;"""", 
   IF(COUNTA(SPLIT(TRIM(A965), "" ""))=1, 
      LOWER(TRIM(A965)) &amp; ""@zupee.in"", 
      LOWER(INDEX(SPLIT(TRIM(A965), "" ""), 1)) &amp; ""."" &amp; LOWER(INDEX(SPLIT(TRIM(A965), "" ""), COUNTA(SPLIT(TRIM(A965), "" "")))) &amp; ""@zupee.in""
   ), 
"&amp;"   """")"),"")</f>
        <v/>
      </c>
      <c r="C965" s="10"/>
    </row>
    <row r="966" ht="15.75" customHeight="1">
      <c r="A966" s="12"/>
      <c r="B966" s="9" t="str">
        <f>IFERROR(__xludf.DUMMYFUNCTION("IF(A966&lt;&gt;"""", 
   IF(COUNTA(SPLIT(TRIM(A966), "" ""))=1, 
      LOWER(TRIM(A966)) &amp; ""@zupee.in"", 
      LOWER(INDEX(SPLIT(TRIM(A966), "" ""), 1)) &amp; ""."" &amp; LOWER(INDEX(SPLIT(TRIM(A966), "" ""), COUNTA(SPLIT(TRIM(A966), "" "")))) &amp; ""@zupee.in""
   ), 
"&amp;"   """")"),"")</f>
        <v/>
      </c>
      <c r="C966" s="10"/>
    </row>
    <row r="967" ht="15.75" customHeight="1">
      <c r="A967" s="12"/>
      <c r="B967" s="9" t="str">
        <f>IFERROR(__xludf.DUMMYFUNCTION("IF(A967&lt;&gt;"""", 
   IF(COUNTA(SPLIT(TRIM(A967), "" ""))=1, 
      LOWER(TRIM(A967)) &amp; ""@zupee.in"", 
      LOWER(INDEX(SPLIT(TRIM(A967), "" ""), 1)) &amp; ""."" &amp; LOWER(INDEX(SPLIT(TRIM(A967), "" ""), COUNTA(SPLIT(TRIM(A967), "" "")))) &amp; ""@zupee.in""
   ), 
"&amp;"   """")"),"")</f>
        <v/>
      </c>
      <c r="C967" s="10"/>
    </row>
    <row r="968" ht="15.75" customHeight="1">
      <c r="A968" s="12"/>
      <c r="B968" s="9" t="str">
        <f>IFERROR(__xludf.DUMMYFUNCTION("IF(A968&lt;&gt;"""", 
   IF(COUNTA(SPLIT(TRIM(A968), "" ""))=1, 
      LOWER(TRIM(A968)) &amp; ""@zupee.in"", 
      LOWER(INDEX(SPLIT(TRIM(A968), "" ""), 1)) &amp; ""."" &amp; LOWER(INDEX(SPLIT(TRIM(A968), "" ""), COUNTA(SPLIT(TRIM(A968), "" "")))) &amp; ""@zupee.in""
   ), 
"&amp;"   """")"),"")</f>
        <v/>
      </c>
      <c r="C968" s="10"/>
    </row>
    <row r="969" ht="15.75" customHeight="1">
      <c r="A969" s="12"/>
      <c r="B969" s="9" t="str">
        <f>IFERROR(__xludf.DUMMYFUNCTION("IF(A969&lt;&gt;"""", 
   IF(COUNTA(SPLIT(TRIM(A969), "" ""))=1, 
      LOWER(TRIM(A969)) &amp; ""@zupee.in"", 
      LOWER(INDEX(SPLIT(TRIM(A969), "" ""), 1)) &amp; ""."" &amp; LOWER(INDEX(SPLIT(TRIM(A969), "" ""), COUNTA(SPLIT(TRIM(A969), "" "")))) &amp; ""@zupee.in""
   ), 
"&amp;"   """")"),"")</f>
        <v/>
      </c>
      <c r="C969" s="10"/>
    </row>
    <row r="970" ht="15.75" customHeight="1">
      <c r="A970" s="12"/>
      <c r="B970" s="9" t="str">
        <f>IFERROR(__xludf.DUMMYFUNCTION("IF(A970&lt;&gt;"""", 
   IF(COUNTA(SPLIT(TRIM(A970), "" ""))=1, 
      LOWER(TRIM(A970)) &amp; ""@zupee.in"", 
      LOWER(INDEX(SPLIT(TRIM(A970), "" ""), 1)) &amp; ""."" &amp; LOWER(INDEX(SPLIT(TRIM(A970), "" ""), COUNTA(SPLIT(TRIM(A970), "" "")))) &amp; ""@zupee.in""
   ), 
"&amp;"   """")"),"")</f>
        <v/>
      </c>
      <c r="C970" s="10"/>
    </row>
    <row r="971" ht="15.75" customHeight="1">
      <c r="A971" s="12"/>
      <c r="B971" s="9" t="str">
        <f>IFERROR(__xludf.DUMMYFUNCTION("IF(A971&lt;&gt;"""", 
   IF(COUNTA(SPLIT(TRIM(A971), "" ""))=1, 
      LOWER(TRIM(A971)) &amp; ""@zupee.in"", 
      LOWER(INDEX(SPLIT(TRIM(A971), "" ""), 1)) &amp; ""."" &amp; LOWER(INDEX(SPLIT(TRIM(A971), "" ""), COUNTA(SPLIT(TRIM(A971), "" "")))) &amp; ""@zupee.in""
   ), 
"&amp;"   """")"),"")</f>
        <v/>
      </c>
      <c r="C971" s="10"/>
    </row>
    <row r="972" ht="15.75" customHeight="1">
      <c r="A972" s="12"/>
      <c r="B972" s="9" t="str">
        <f>IFERROR(__xludf.DUMMYFUNCTION("IF(A972&lt;&gt;"""", 
   IF(COUNTA(SPLIT(TRIM(A972), "" ""))=1, 
      LOWER(TRIM(A972)) &amp; ""@zupee.in"", 
      LOWER(INDEX(SPLIT(TRIM(A972), "" ""), 1)) &amp; ""."" &amp; LOWER(INDEX(SPLIT(TRIM(A972), "" ""), COUNTA(SPLIT(TRIM(A972), "" "")))) &amp; ""@zupee.in""
   ), 
"&amp;"   """")"),"")</f>
        <v/>
      </c>
      <c r="C972" s="10"/>
    </row>
    <row r="973" ht="15.75" customHeight="1">
      <c r="A973" s="12"/>
      <c r="B973" s="9" t="str">
        <f>IFERROR(__xludf.DUMMYFUNCTION("IF(A973&lt;&gt;"""", 
   IF(COUNTA(SPLIT(TRIM(A973), "" ""))=1, 
      LOWER(TRIM(A973)) &amp; ""@zupee.in"", 
      LOWER(INDEX(SPLIT(TRIM(A973), "" ""), 1)) &amp; ""."" &amp; LOWER(INDEX(SPLIT(TRIM(A973), "" ""), COUNTA(SPLIT(TRIM(A973), "" "")))) &amp; ""@zupee.in""
   ), 
"&amp;"   """")"),"")</f>
        <v/>
      </c>
      <c r="C973" s="10"/>
    </row>
    <row r="974" ht="15.75" customHeight="1">
      <c r="A974" s="12"/>
      <c r="B974" s="9" t="str">
        <f>IFERROR(__xludf.DUMMYFUNCTION("IF(A974&lt;&gt;"""", 
   IF(COUNTA(SPLIT(TRIM(A974), "" ""))=1, 
      LOWER(TRIM(A974)) &amp; ""@zupee.in"", 
      LOWER(INDEX(SPLIT(TRIM(A974), "" ""), 1)) &amp; ""."" &amp; LOWER(INDEX(SPLIT(TRIM(A974), "" ""), COUNTA(SPLIT(TRIM(A974), "" "")))) &amp; ""@zupee.in""
   ), 
"&amp;"   """")"),"")</f>
        <v/>
      </c>
      <c r="C974" s="10"/>
    </row>
    <row r="975" ht="15.75" customHeight="1">
      <c r="A975" s="12"/>
      <c r="B975" s="9" t="str">
        <f>IFERROR(__xludf.DUMMYFUNCTION("IF(A975&lt;&gt;"""", 
   IF(COUNTA(SPLIT(TRIM(A975), "" ""))=1, 
      LOWER(TRIM(A975)) &amp; ""@zupee.in"", 
      LOWER(INDEX(SPLIT(TRIM(A975), "" ""), 1)) &amp; ""."" &amp; LOWER(INDEX(SPLIT(TRIM(A975), "" ""), COUNTA(SPLIT(TRIM(A975), "" "")))) &amp; ""@zupee.in""
   ), 
"&amp;"   """")"),"")</f>
        <v/>
      </c>
      <c r="C975" s="10"/>
    </row>
    <row r="976" ht="15.75" customHeight="1">
      <c r="A976" s="12"/>
      <c r="B976" s="9" t="str">
        <f>IFERROR(__xludf.DUMMYFUNCTION("IF(A976&lt;&gt;"""", 
   IF(COUNTA(SPLIT(TRIM(A976), "" ""))=1, 
      LOWER(TRIM(A976)) &amp; ""@zupee.in"", 
      LOWER(INDEX(SPLIT(TRIM(A976), "" ""), 1)) &amp; ""."" &amp; LOWER(INDEX(SPLIT(TRIM(A976), "" ""), COUNTA(SPLIT(TRIM(A976), "" "")))) &amp; ""@zupee.in""
   ), 
"&amp;"   """")"),"")</f>
        <v/>
      </c>
      <c r="C976" s="10"/>
    </row>
    <row r="977" ht="15.75" customHeight="1">
      <c r="A977" s="12"/>
      <c r="B977" s="9" t="str">
        <f>IFERROR(__xludf.DUMMYFUNCTION("IF(A977&lt;&gt;"""", 
   IF(COUNTA(SPLIT(TRIM(A977), "" ""))=1, 
      LOWER(TRIM(A977)) &amp; ""@zupee.in"", 
      LOWER(INDEX(SPLIT(TRIM(A977), "" ""), 1)) &amp; ""."" &amp; LOWER(INDEX(SPLIT(TRIM(A977), "" ""), COUNTA(SPLIT(TRIM(A977), "" "")))) &amp; ""@zupee.in""
   ), 
"&amp;"   """")"),"")</f>
        <v/>
      </c>
      <c r="C977" s="10"/>
    </row>
    <row r="978" ht="15.75" customHeight="1">
      <c r="A978" s="12"/>
      <c r="B978" s="9" t="str">
        <f>IFERROR(__xludf.DUMMYFUNCTION("IF(A978&lt;&gt;"""", 
   IF(COUNTA(SPLIT(TRIM(A978), "" ""))=1, 
      LOWER(TRIM(A978)) &amp; ""@zupee.in"", 
      LOWER(INDEX(SPLIT(TRIM(A978), "" ""), 1)) &amp; ""."" &amp; LOWER(INDEX(SPLIT(TRIM(A978), "" ""), COUNTA(SPLIT(TRIM(A978), "" "")))) &amp; ""@zupee.in""
   ), 
"&amp;"   """")"),"")</f>
        <v/>
      </c>
      <c r="C978" s="10"/>
    </row>
    <row r="979" ht="15.75" customHeight="1">
      <c r="A979" s="12"/>
      <c r="B979" s="9" t="str">
        <f>IFERROR(__xludf.DUMMYFUNCTION("IF(A979&lt;&gt;"""", 
   IF(COUNTA(SPLIT(TRIM(A979), "" ""))=1, 
      LOWER(TRIM(A979)) &amp; ""@zupee.in"", 
      LOWER(INDEX(SPLIT(TRIM(A979), "" ""), 1)) &amp; ""."" &amp; LOWER(INDEX(SPLIT(TRIM(A979), "" ""), COUNTA(SPLIT(TRIM(A979), "" "")))) &amp; ""@zupee.in""
   ), 
"&amp;"   """")"),"")</f>
        <v/>
      </c>
      <c r="C979" s="10"/>
    </row>
    <row r="980" ht="15.75" customHeight="1">
      <c r="A980" s="12"/>
      <c r="B980" s="9" t="str">
        <f>IFERROR(__xludf.DUMMYFUNCTION("IF(A980&lt;&gt;"""", 
   IF(COUNTA(SPLIT(TRIM(A980), "" ""))=1, 
      LOWER(TRIM(A980)) &amp; ""@zupee.in"", 
      LOWER(INDEX(SPLIT(TRIM(A980), "" ""), 1)) &amp; ""."" &amp; LOWER(INDEX(SPLIT(TRIM(A980), "" ""), COUNTA(SPLIT(TRIM(A980), "" "")))) &amp; ""@zupee.in""
   ), 
"&amp;"   """")"),"")</f>
        <v/>
      </c>
      <c r="C980" s="10"/>
    </row>
    <row r="981" ht="15.75" customHeight="1">
      <c r="A981" s="12"/>
      <c r="B981" s="9" t="str">
        <f>IFERROR(__xludf.DUMMYFUNCTION("IF(A981&lt;&gt;"""", 
   IF(COUNTA(SPLIT(TRIM(A981), "" ""))=1, 
      LOWER(TRIM(A981)) &amp; ""@zupee.in"", 
      LOWER(INDEX(SPLIT(TRIM(A981), "" ""), 1)) &amp; ""."" &amp; LOWER(INDEX(SPLIT(TRIM(A981), "" ""), COUNTA(SPLIT(TRIM(A981), "" "")))) &amp; ""@zupee.in""
   ), 
"&amp;"   """")"),"")</f>
        <v/>
      </c>
      <c r="C981" s="10"/>
    </row>
    <row r="982" ht="15.75" customHeight="1">
      <c r="A982" s="12"/>
      <c r="B982" s="9" t="str">
        <f>IFERROR(__xludf.DUMMYFUNCTION("IF(A982&lt;&gt;"""", 
   IF(COUNTA(SPLIT(TRIM(A982), "" ""))=1, 
      LOWER(TRIM(A982)) &amp; ""@zupee.in"", 
      LOWER(INDEX(SPLIT(TRIM(A982), "" ""), 1)) &amp; ""."" &amp; LOWER(INDEX(SPLIT(TRIM(A982), "" ""), COUNTA(SPLIT(TRIM(A982), "" "")))) &amp; ""@zupee.in""
   ), 
"&amp;"   """")"),"")</f>
        <v/>
      </c>
      <c r="C982" s="10"/>
    </row>
    <row r="983" ht="15.75" customHeight="1">
      <c r="A983" s="12"/>
      <c r="B983" s="9" t="str">
        <f>IFERROR(__xludf.DUMMYFUNCTION("IF(A983&lt;&gt;"""", 
   IF(COUNTA(SPLIT(TRIM(A983), "" ""))=1, 
      LOWER(TRIM(A983)) &amp; ""@zupee.in"", 
      LOWER(INDEX(SPLIT(TRIM(A983), "" ""), 1)) &amp; ""."" &amp; LOWER(INDEX(SPLIT(TRIM(A983), "" ""), COUNTA(SPLIT(TRIM(A983), "" "")))) &amp; ""@zupee.in""
   ), 
"&amp;"   """")"),"")</f>
        <v/>
      </c>
      <c r="C983" s="10"/>
    </row>
    <row r="984" ht="15.75" customHeight="1">
      <c r="A984" s="12"/>
      <c r="B984" s="9" t="str">
        <f>IFERROR(__xludf.DUMMYFUNCTION("IF(A984&lt;&gt;"""", 
   IF(COUNTA(SPLIT(TRIM(A984), "" ""))=1, 
      LOWER(TRIM(A984)) &amp; ""@zupee.in"", 
      LOWER(INDEX(SPLIT(TRIM(A984), "" ""), 1)) &amp; ""."" &amp; LOWER(INDEX(SPLIT(TRIM(A984), "" ""), COUNTA(SPLIT(TRIM(A984), "" "")))) &amp; ""@zupee.in""
   ), 
"&amp;"   """")"),"")</f>
        <v/>
      </c>
      <c r="C984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11.13"/>
    <col customWidth="1" min="3" max="3" width="12.0"/>
    <col customWidth="1" min="4" max="4" width="21.88"/>
    <col customWidth="1" min="5" max="5" width="16.63"/>
    <col customWidth="1" min="6" max="7" width="12.63"/>
    <col customWidth="1" hidden="1" min="8" max="8" width="14.13"/>
    <col customWidth="1" min="9" max="9" width="24.25"/>
    <col customWidth="1" min="10" max="10" width="29.0"/>
    <col customWidth="1" min="11" max="11" width="12.13"/>
    <col customWidth="1" min="12" max="12" width="42.5"/>
    <col customWidth="1" min="13" max="13" width="22.88"/>
  </cols>
  <sheetData>
    <row r="1" ht="15.75" customHeight="1">
      <c r="A1" s="4" t="s">
        <v>9</v>
      </c>
      <c r="B1" s="4" t="s">
        <v>3</v>
      </c>
      <c r="C1" s="4" t="s">
        <v>4</v>
      </c>
      <c r="D1" s="5" t="s">
        <v>5</v>
      </c>
      <c r="E1" s="6" t="s">
        <v>6</v>
      </c>
      <c r="F1" s="5" t="s">
        <v>10</v>
      </c>
      <c r="G1" s="4" t="s">
        <v>11</v>
      </c>
      <c r="H1" s="6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</row>
    <row r="2" ht="15.75" customHeight="1">
      <c r="A2" s="13" t="s">
        <v>18</v>
      </c>
      <c r="B2" s="14" t="str">
        <f>IFERROR(LEFT('Emp Info'!A2,SEARCH(" ",'Emp Info'!A2)-1),'Emp Info'!A2)</f>
        <v>Aman</v>
      </c>
      <c r="C2" s="14" t="str">
        <f>IF(ISBLANK('Emp Info'!A2), "", IFERROR(RIGHT('Emp Info'!A2,LEN('Emp Info'!A2)-SEARCH(" ",'Emp Info'!A2,1)),"."))</f>
        <v>Hans</v>
      </c>
      <c r="D2" s="11" t="str">
        <f>IFERROR(__xludf.DUMMYFUNCTION("IF('Emp Info'!A2&lt;&gt;"""", IF(COUNTA(SPLIT(TRIM('Emp Info'!A2), "" ""))=1, LOWER(TRIM('Emp Info'!A2)) &amp; ""@zupee.in"", LOWER(INDEX(SPLIT(TRIM('Emp Info'!A2), "" ""), 1)) &amp; ""."" &amp; LOWER(INDEX(SPLIT(TRIM('Emp Info'!A2), "" ""), COUNTA(SPLIT(TRIM('Emp Info'!A2"&amp;"), "" "")))) &amp; ""@zupee.in"" ), """")"),"aman.hans@zupee.in")</f>
        <v>aman.hans@zupee.in</v>
      </c>
      <c r="E2" s="15" t="str">
        <f t="shared" ref="E2:E3" si="1">rpassword(16)</f>
        <v>QH2b9{dCF8Kg17YM</v>
      </c>
      <c r="F2" s="16" t="s">
        <v>19</v>
      </c>
      <c r="G2" s="11"/>
      <c r="H2" s="11"/>
      <c r="I2" s="11"/>
      <c r="J2" s="11"/>
      <c r="K2" s="11" t="s">
        <v>20</v>
      </c>
      <c r="L2" s="11" t="s">
        <v>21</v>
      </c>
      <c r="M2" s="11" t="s">
        <v>22</v>
      </c>
    </row>
    <row r="3" ht="15.75" customHeight="1">
      <c r="A3" s="13" t="s">
        <v>18</v>
      </c>
      <c r="B3" s="14" t="str">
        <f>IFERROR(LEFT('Emp Info'!A3,SEARCH(" ",'Emp Info'!A3)-1),'Emp Info'!A3)</f>
        <v>Harshit</v>
      </c>
      <c r="C3" s="14" t="str">
        <f>IF(ISBLANK('Emp Info'!A3), "", IFERROR(RIGHT('Emp Info'!A3,LEN('Emp Info'!A3)-SEARCH(" ",'Emp Info'!A3,1)),"."))</f>
        <v>Kumar Singh</v>
      </c>
      <c r="D3" s="11" t="str">
        <f>IFERROR(__xludf.DUMMYFUNCTION("IF('Emp Info'!A3&lt;&gt;"""", IF(COUNTA(SPLIT(TRIM('Emp Info'!A3), "" ""))=1, LOWER(TRIM('Emp Info'!A3)) &amp; ""@zupee.in"", LOWER(INDEX(SPLIT(TRIM('Emp Info'!A3), "" ""), 1)) &amp; ""."" &amp; LOWER(INDEX(SPLIT(TRIM('Emp Info'!A3), "" ""), COUNTA(SPLIT(TRIM('Emp Info'!A3"&amp;"), "" "")))) &amp; ""@zupee.in"" ), """")"),"harshit.singh@zupee.in")</f>
        <v>harshit.singh@zupee.in</v>
      </c>
      <c r="E3" s="15" t="str">
        <f t="shared" si="1"/>
        <v>Ll$8PrYRRMHK6thW</v>
      </c>
      <c r="F3" s="16" t="s">
        <v>19</v>
      </c>
      <c r="G3" s="11"/>
      <c r="H3" s="11"/>
      <c r="I3" s="11"/>
      <c r="J3" s="11"/>
      <c r="K3" s="11" t="s">
        <v>23</v>
      </c>
      <c r="L3" s="11" t="s">
        <v>21</v>
      </c>
      <c r="M3" s="11" t="s">
        <v>22</v>
      </c>
    </row>
    <row r="4" ht="15.75" customHeight="1">
      <c r="A4" s="13"/>
      <c r="B4" s="14"/>
      <c r="C4" s="14"/>
      <c r="D4" s="11"/>
      <c r="E4" s="17"/>
      <c r="F4" s="18"/>
      <c r="G4" s="18"/>
      <c r="H4" s="19"/>
      <c r="K4" s="20"/>
      <c r="L4" s="20"/>
    </row>
    <row r="5" ht="15.75" customHeight="1">
      <c r="A5" s="13"/>
      <c r="B5" s="14"/>
      <c r="C5" s="14"/>
      <c r="D5" s="11"/>
      <c r="E5" s="17"/>
      <c r="F5" s="18"/>
      <c r="G5" s="18"/>
      <c r="H5" s="19"/>
      <c r="I5" s="21"/>
      <c r="J5" s="8"/>
      <c r="K5" s="21"/>
      <c r="L5" s="21"/>
      <c r="M5" s="21"/>
    </row>
    <row r="6" ht="15.75" customHeight="1">
      <c r="A6" s="13"/>
      <c r="B6" s="14"/>
      <c r="C6" s="14"/>
      <c r="D6" s="11"/>
      <c r="E6" s="17"/>
      <c r="F6" s="18"/>
      <c r="G6" s="18"/>
      <c r="H6" s="19"/>
      <c r="I6" s="21"/>
      <c r="J6" s="8"/>
      <c r="K6" s="21"/>
      <c r="L6" s="21"/>
      <c r="M6" s="21"/>
    </row>
    <row r="7" ht="15.75" customHeight="1">
      <c r="A7" s="13"/>
      <c r="B7" s="14"/>
      <c r="C7" s="14"/>
      <c r="D7" s="11"/>
      <c r="E7" s="17"/>
      <c r="F7" s="18"/>
      <c r="G7" s="18"/>
      <c r="H7" s="19"/>
      <c r="I7" s="21"/>
      <c r="J7" s="8"/>
      <c r="K7" s="21"/>
      <c r="L7" s="21"/>
      <c r="M7" s="21"/>
    </row>
    <row r="8" ht="15.75" customHeight="1">
      <c r="A8" s="13"/>
      <c r="B8" s="14"/>
      <c r="C8" s="14"/>
      <c r="D8" s="11"/>
      <c r="E8" s="17"/>
      <c r="F8" s="18"/>
      <c r="G8" s="18"/>
      <c r="H8" s="19"/>
      <c r="I8" s="21"/>
      <c r="J8" s="8"/>
      <c r="K8" s="21"/>
      <c r="L8" s="21"/>
      <c r="M8" s="21"/>
    </row>
    <row r="9" ht="15.75" customHeight="1">
      <c r="A9" s="13"/>
      <c r="B9" s="14"/>
      <c r="C9" s="14"/>
      <c r="D9" s="11"/>
      <c r="E9" s="17"/>
      <c r="F9" s="18"/>
      <c r="G9" s="18"/>
      <c r="H9" s="19"/>
      <c r="I9" s="21"/>
      <c r="J9" s="8"/>
      <c r="K9" s="21"/>
      <c r="L9" s="21"/>
      <c r="M9" s="21"/>
    </row>
    <row r="10" ht="15.75" customHeight="1">
      <c r="A10" s="13"/>
      <c r="B10" s="14"/>
      <c r="C10" s="14"/>
      <c r="D10" s="11"/>
      <c r="E10" s="17"/>
      <c r="F10" s="18"/>
      <c r="G10" s="18"/>
      <c r="H10" s="19"/>
      <c r="I10" s="21"/>
      <c r="J10" s="8"/>
      <c r="K10" s="21"/>
      <c r="L10" s="21"/>
      <c r="M10" s="21"/>
    </row>
    <row r="11" ht="15.75" customHeight="1">
      <c r="A11" s="13"/>
      <c r="B11" s="14"/>
      <c r="C11" s="14"/>
      <c r="D11" s="11"/>
      <c r="E11" s="17"/>
      <c r="F11" s="18"/>
      <c r="G11" s="18"/>
      <c r="H11" s="19"/>
      <c r="I11" s="21"/>
      <c r="J11" s="8"/>
      <c r="K11" s="21"/>
      <c r="L11" s="21"/>
      <c r="M11" s="21"/>
    </row>
    <row r="12" ht="15.75" customHeight="1">
      <c r="A12" s="13"/>
      <c r="B12" s="14"/>
      <c r="C12" s="14"/>
      <c r="D12" s="11"/>
      <c r="E12" s="17"/>
      <c r="F12" s="18"/>
      <c r="G12" s="18"/>
      <c r="H12" s="19"/>
      <c r="I12" s="21"/>
      <c r="J12" s="8"/>
      <c r="K12" s="21"/>
      <c r="L12" s="21"/>
      <c r="M12" s="21"/>
    </row>
    <row r="13" ht="15.75" customHeight="1">
      <c r="A13" s="13"/>
      <c r="B13" s="14"/>
      <c r="C13" s="14"/>
      <c r="D13" s="11"/>
      <c r="E13" s="17"/>
      <c r="F13" s="18"/>
      <c r="G13" s="18"/>
      <c r="H13" s="19"/>
      <c r="I13" s="21"/>
      <c r="J13" s="8"/>
      <c r="K13" s="21"/>
      <c r="L13" s="21"/>
      <c r="M13" s="21"/>
    </row>
    <row r="14" ht="15.75" customHeight="1">
      <c r="A14" s="13"/>
      <c r="B14" s="14"/>
      <c r="C14" s="14"/>
      <c r="D14" s="11"/>
      <c r="E14" s="17"/>
      <c r="F14" s="18"/>
      <c r="G14" s="18"/>
      <c r="H14" s="19"/>
      <c r="I14" s="21"/>
      <c r="J14" s="8"/>
      <c r="K14" s="21"/>
      <c r="L14" s="21"/>
      <c r="M14" s="21"/>
    </row>
    <row r="15" ht="15.75" customHeight="1">
      <c r="A15" s="13"/>
      <c r="B15" s="14"/>
      <c r="C15" s="14"/>
      <c r="D15" s="11"/>
      <c r="E15" s="17"/>
      <c r="F15" s="18"/>
      <c r="G15" s="18"/>
      <c r="H15" s="19"/>
      <c r="I15" s="21"/>
      <c r="J15" s="11"/>
      <c r="K15" s="21"/>
      <c r="L15" s="21"/>
      <c r="M15" s="21"/>
    </row>
    <row r="16" ht="15.75" customHeight="1">
      <c r="A16" s="13"/>
      <c r="B16" s="14"/>
      <c r="C16" s="14"/>
      <c r="D16" s="11"/>
      <c r="E16" s="17"/>
      <c r="F16" s="18"/>
      <c r="G16" s="18"/>
      <c r="H16" s="19"/>
      <c r="I16" s="21"/>
      <c r="J16" s="11"/>
      <c r="K16" s="21"/>
      <c r="L16" s="21"/>
      <c r="M16" s="21"/>
    </row>
    <row r="17" ht="15.75" customHeight="1">
      <c r="A17" s="13"/>
      <c r="B17" s="14"/>
      <c r="C17" s="14"/>
      <c r="D17" s="11"/>
      <c r="E17" s="17"/>
      <c r="F17" s="18"/>
      <c r="G17" s="18"/>
      <c r="H17" s="19"/>
      <c r="I17" s="21"/>
      <c r="J17" s="11"/>
      <c r="K17" s="21"/>
      <c r="L17" s="21"/>
      <c r="M17" s="21"/>
    </row>
    <row r="18" ht="15.75" customHeight="1">
      <c r="A18" s="13"/>
      <c r="B18" s="14"/>
      <c r="C18" s="14"/>
      <c r="D18" s="11"/>
      <c r="E18" s="17"/>
      <c r="F18" s="18"/>
      <c r="G18" s="18"/>
      <c r="H18" s="19"/>
      <c r="I18" s="21"/>
      <c r="J18" s="11"/>
      <c r="K18" s="21"/>
      <c r="L18" s="21"/>
      <c r="M18" s="21"/>
    </row>
    <row r="19" ht="15.75" customHeight="1">
      <c r="A19" s="13"/>
      <c r="B19" s="14"/>
      <c r="C19" s="14"/>
      <c r="D19" s="11"/>
      <c r="E19" s="17"/>
      <c r="F19" s="18"/>
      <c r="G19" s="18"/>
      <c r="H19" s="19"/>
      <c r="I19" s="21"/>
      <c r="J19" s="11"/>
      <c r="K19" s="21"/>
      <c r="L19" s="21"/>
      <c r="M19" s="21"/>
    </row>
    <row r="20" ht="15.75" customHeight="1">
      <c r="A20" s="13"/>
      <c r="B20" s="14"/>
      <c r="C20" s="14"/>
      <c r="D20" s="11"/>
      <c r="E20" s="17"/>
      <c r="F20" s="18"/>
      <c r="G20" s="18"/>
      <c r="H20" s="19"/>
      <c r="I20" s="21"/>
      <c r="J20" s="11"/>
      <c r="K20" s="21"/>
      <c r="L20" s="21"/>
      <c r="M20" s="21"/>
    </row>
    <row r="21" ht="15.75" customHeight="1">
      <c r="A21" s="13"/>
      <c r="B21" s="14"/>
      <c r="C21" s="14"/>
      <c r="D21" s="11"/>
      <c r="E21" s="17"/>
      <c r="F21" s="18"/>
      <c r="G21" s="18"/>
      <c r="H21" s="19"/>
      <c r="I21" s="21"/>
      <c r="J21" s="11"/>
      <c r="K21" s="21"/>
      <c r="L21" s="21"/>
      <c r="M21" s="21"/>
    </row>
    <row r="22" ht="15.75" customHeight="1">
      <c r="A22" s="13"/>
      <c r="B22" s="14"/>
      <c r="C22" s="14"/>
      <c r="D22" s="11"/>
      <c r="E22" s="17"/>
      <c r="F22" s="18"/>
      <c r="G22" s="18"/>
      <c r="H22" s="19"/>
      <c r="I22" s="21"/>
      <c r="J22" s="11"/>
      <c r="K22" s="21"/>
      <c r="L22" s="21"/>
      <c r="M22" s="21"/>
    </row>
    <row r="23" ht="15.75" customHeight="1">
      <c r="A23" s="13"/>
      <c r="B23" s="14"/>
      <c r="C23" s="14"/>
      <c r="D23" s="11"/>
      <c r="E23" s="17"/>
      <c r="F23" s="18"/>
      <c r="G23" s="18"/>
      <c r="H23" s="19"/>
      <c r="I23" s="21"/>
      <c r="J23" s="11"/>
      <c r="K23" s="21"/>
      <c r="L23" s="21"/>
      <c r="M23" s="21"/>
    </row>
    <row r="24" ht="15.75" customHeight="1">
      <c r="A24" s="13"/>
      <c r="B24" s="14"/>
      <c r="C24" s="14"/>
      <c r="D24" s="11"/>
      <c r="E24" s="17"/>
      <c r="F24" s="18"/>
      <c r="G24" s="18"/>
      <c r="H24" s="19"/>
      <c r="I24" s="21"/>
      <c r="J24" s="11"/>
      <c r="K24" s="21"/>
      <c r="L24" s="21"/>
      <c r="M24" s="21"/>
    </row>
    <row r="25" ht="15.75" customHeight="1">
      <c r="A25" s="13"/>
      <c r="B25" s="14"/>
      <c r="C25" s="14"/>
      <c r="D25" s="11"/>
      <c r="E25" s="17"/>
      <c r="F25" s="18"/>
      <c r="G25" s="18"/>
      <c r="H25" s="19"/>
      <c r="I25" s="21"/>
      <c r="J25" s="11"/>
      <c r="K25" s="21"/>
      <c r="L25" s="21"/>
      <c r="M25" s="21"/>
    </row>
    <row r="26" ht="15.75" customHeight="1">
      <c r="A26" s="13"/>
      <c r="B26" s="14"/>
      <c r="C26" s="14"/>
      <c r="D26" s="11"/>
      <c r="E26" s="17"/>
      <c r="F26" s="18"/>
      <c r="G26" s="18"/>
      <c r="H26" s="19"/>
      <c r="I26" s="21"/>
      <c r="J26" s="11"/>
      <c r="K26" s="21"/>
      <c r="L26" s="21"/>
      <c r="M26" s="21"/>
    </row>
    <row r="27" ht="15.75" customHeight="1">
      <c r="A27" s="13"/>
      <c r="B27" s="14"/>
      <c r="C27" s="14"/>
      <c r="D27" s="11"/>
      <c r="E27" s="17"/>
      <c r="F27" s="18"/>
      <c r="G27" s="18"/>
      <c r="H27" s="19"/>
      <c r="I27" s="21"/>
      <c r="J27" s="11"/>
      <c r="K27" s="21"/>
      <c r="L27" s="21"/>
      <c r="M27" s="21"/>
    </row>
    <row r="28" ht="15.75" customHeight="1">
      <c r="A28" s="13"/>
      <c r="B28" s="14"/>
      <c r="C28" s="14"/>
      <c r="D28" s="11"/>
      <c r="E28" s="17"/>
      <c r="F28" s="18"/>
      <c r="G28" s="18"/>
      <c r="H28" s="19"/>
      <c r="I28" s="21"/>
      <c r="J28" s="11"/>
      <c r="K28" s="21"/>
      <c r="L28" s="21"/>
      <c r="M28" s="21"/>
    </row>
    <row r="29" ht="15.75" customHeight="1">
      <c r="A29" s="13"/>
      <c r="B29" s="14"/>
      <c r="C29" s="14"/>
      <c r="D29" s="11"/>
      <c r="E29" s="17"/>
      <c r="F29" s="18"/>
      <c r="G29" s="18"/>
      <c r="H29" s="19"/>
      <c r="I29" s="21"/>
      <c r="J29" s="11"/>
      <c r="K29" s="21"/>
      <c r="L29" s="21"/>
      <c r="M29" s="21"/>
    </row>
    <row r="30" ht="15.75" customHeight="1">
      <c r="A30" s="13"/>
      <c r="B30" s="14"/>
      <c r="C30" s="14"/>
      <c r="D30" s="11"/>
      <c r="E30" s="17"/>
      <c r="F30" s="18"/>
      <c r="G30" s="18"/>
      <c r="H30" s="19"/>
      <c r="I30" s="21"/>
      <c r="J30" s="11"/>
      <c r="K30" s="21"/>
      <c r="L30" s="21"/>
      <c r="M30" s="21"/>
    </row>
    <row r="31" ht="15.75" customHeight="1">
      <c r="A31" s="13"/>
      <c r="B31" s="14"/>
      <c r="C31" s="14"/>
      <c r="D31" s="11"/>
      <c r="E31" s="17"/>
      <c r="F31" s="18"/>
      <c r="G31" s="18"/>
      <c r="H31" s="19"/>
      <c r="I31" s="21"/>
      <c r="J31" s="11"/>
      <c r="K31" s="21"/>
      <c r="L31" s="21"/>
      <c r="M31" s="21"/>
    </row>
    <row r="32" ht="15.75" customHeight="1">
      <c r="A32" s="13"/>
      <c r="B32" s="14"/>
      <c r="C32" s="14"/>
      <c r="D32" s="11"/>
      <c r="E32" s="17"/>
      <c r="F32" s="18"/>
      <c r="G32" s="18"/>
      <c r="H32" s="19"/>
      <c r="I32" s="21"/>
      <c r="J32" s="11"/>
      <c r="K32" s="21"/>
      <c r="L32" s="21"/>
      <c r="M32" s="21"/>
    </row>
    <row r="33" ht="15.75" customHeight="1">
      <c r="A33" s="13"/>
      <c r="B33" s="14"/>
      <c r="C33" s="14"/>
      <c r="D33" s="11"/>
      <c r="E33" s="17"/>
      <c r="F33" s="18"/>
      <c r="G33" s="18"/>
      <c r="H33" s="19"/>
      <c r="I33" s="21"/>
      <c r="J33" s="11"/>
      <c r="K33" s="21"/>
      <c r="L33" s="21"/>
      <c r="M33" s="21"/>
    </row>
    <row r="34" ht="15.75" customHeight="1">
      <c r="A34" s="13"/>
      <c r="B34" s="14"/>
      <c r="C34" s="14"/>
      <c r="D34" s="11"/>
      <c r="E34" s="17"/>
      <c r="F34" s="18"/>
      <c r="G34" s="18"/>
      <c r="H34" s="19"/>
      <c r="I34" s="21"/>
      <c r="J34" s="11"/>
      <c r="K34" s="21"/>
      <c r="L34" s="21"/>
      <c r="M34" s="21"/>
    </row>
    <row r="35" ht="15.75" customHeight="1">
      <c r="A35" s="13"/>
      <c r="B35" s="14"/>
      <c r="C35" s="14"/>
      <c r="D35" s="11"/>
      <c r="E35" s="17"/>
      <c r="F35" s="18"/>
      <c r="G35" s="18"/>
      <c r="H35" s="19"/>
      <c r="I35" s="21"/>
      <c r="J35" s="11"/>
      <c r="K35" s="21"/>
      <c r="L35" s="21"/>
      <c r="M35" s="21"/>
    </row>
    <row r="36" ht="15.75" customHeight="1">
      <c r="A36" s="13"/>
      <c r="B36" s="14"/>
      <c r="C36" s="14"/>
      <c r="D36" s="11"/>
      <c r="E36" s="17"/>
      <c r="F36" s="18"/>
      <c r="G36" s="18"/>
      <c r="H36" s="19"/>
      <c r="I36" s="21"/>
      <c r="J36" s="11"/>
      <c r="K36" s="21"/>
      <c r="L36" s="21"/>
      <c r="M36" s="21"/>
    </row>
    <row r="37" ht="15.75" customHeight="1">
      <c r="A37" s="13"/>
      <c r="B37" s="14"/>
      <c r="C37" s="14"/>
      <c r="D37" s="11"/>
      <c r="E37" s="17"/>
      <c r="F37" s="18"/>
      <c r="G37" s="18"/>
      <c r="H37" s="19"/>
      <c r="I37" s="21"/>
      <c r="J37" s="11"/>
      <c r="K37" s="21"/>
      <c r="L37" s="21"/>
      <c r="M37" s="21"/>
    </row>
    <row r="38" ht="15.75" customHeight="1">
      <c r="A38" s="13"/>
      <c r="B38" s="14"/>
      <c r="C38" s="14"/>
      <c r="D38" s="11"/>
      <c r="E38" s="17"/>
      <c r="F38" s="18"/>
      <c r="G38" s="18"/>
      <c r="H38" s="19"/>
      <c r="I38" s="21"/>
      <c r="J38" s="11"/>
      <c r="K38" s="21"/>
      <c r="L38" s="21"/>
      <c r="M38" s="21"/>
    </row>
    <row r="39" ht="15.75" customHeight="1">
      <c r="A39" s="13"/>
      <c r="B39" s="14"/>
      <c r="C39" s="14"/>
      <c r="D39" s="11"/>
      <c r="E39" s="17"/>
      <c r="F39" s="18"/>
      <c r="G39" s="18"/>
      <c r="H39" s="19"/>
      <c r="I39" s="21"/>
      <c r="J39" s="11"/>
      <c r="K39" s="21"/>
      <c r="L39" s="21"/>
      <c r="M39" s="21"/>
    </row>
    <row r="40" ht="15.75" customHeight="1">
      <c r="A40" s="13"/>
      <c r="B40" s="14"/>
      <c r="C40" s="14"/>
      <c r="D40" s="11"/>
      <c r="E40" s="17"/>
      <c r="F40" s="18"/>
      <c r="G40" s="18"/>
      <c r="H40" s="19"/>
      <c r="I40" s="21"/>
      <c r="J40" s="11"/>
      <c r="K40" s="21"/>
      <c r="L40" s="21"/>
      <c r="M40" s="21"/>
    </row>
    <row r="41" ht="15.75" customHeight="1">
      <c r="A41" s="13"/>
      <c r="B41" s="14"/>
      <c r="C41" s="14"/>
      <c r="D41" s="11"/>
      <c r="E41" s="17"/>
      <c r="F41" s="18"/>
      <c r="G41" s="18"/>
      <c r="H41" s="19"/>
      <c r="I41" s="21"/>
      <c r="J41" s="11"/>
      <c r="K41" s="21"/>
      <c r="L41" s="21"/>
      <c r="M41" s="21"/>
    </row>
    <row r="42" ht="15.75" customHeight="1">
      <c r="A42" s="13"/>
      <c r="B42" s="14"/>
      <c r="C42" s="14"/>
      <c r="D42" s="11"/>
      <c r="E42" s="17"/>
      <c r="F42" s="18"/>
      <c r="G42" s="18"/>
      <c r="H42" s="19"/>
      <c r="I42" s="21"/>
      <c r="J42" s="11"/>
      <c r="K42" s="21"/>
      <c r="L42" s="21"/>
      <c r="M42" s="21"/>
    </row>
    <row r="43" ht="15.75" customHeight="1">
      <c r="A43" s="13"/>
      <c r="B43" s="14"/>
      <c r="C43" s="14"/>
      <c r="D43" s="11"/>
      <c r="E43" s="17"/>
      <c r="F43" s="18"/>
      <c r="G43" s="18"/>
      <c r="H43" s="19"/>
      <c r="I43" s="21"/>
      <c r="J43" s="11"/>
      <c r="K43" s="21"/>
      <c r="L43" s="21"/>
      <c r="M43" s="21"/>
    </row>
    <row r="44" ht="15.75" customHeight="1">
      <c r="A44" s="13"/>
      <c r="B44" s="14"/>
      <c r="C44" s="14"/>
      <c r="D44" s="11"/>
      <c r="E44" s="17"/>
      <c r="F44" s="18"/>
      <c r="G44" s="18"/>
      <c r="H44" s="19"/>
      <c r="I44" s="21"/>
      <c r="J44" s="11"/>
      <c r="K44" s="21"/>
      <c r="L44" s="21"/>
      <c r="M44" s="21"/>
    </row>
    <row r="45" ht="15.75" customHeight="1">
      <c r="A45" s="13"/>
      <c r="B45" s="14"/>
      <c r="C45" s="14"/>
      <c r="D45" s="11"/>
      <c r="E45" s="17"/>
      <c r="F45" s="18"/>
      <c r="G45" s="18"/>
      <c r="H45" s="19"/>
      <c r="I45" s="21"/>
      <c r="J45" s="11"/>
      <c r="K45" s="21"/>
      <c r="L45" s="21"/>
      <c r="M45" s="21"/>
    </row>
    <row r="46" ht="15.75" customHeight="1">
      <c r="A46" s="13"/>
      <c r="B46" s="14"/>
      <c r="C46" s="14"/>
      <c r="D46" s="11"/>
      <c r="E46" s="17"/>
      <c r="F46" s="18"/>
      <c r="G46" s="18"/>
      <c r="H46" s="19"/>
      <c r="I46" s="21"/>
      <c r="J46" s="11"/>
      <c r="K46" s="21"/>
      <c r="L46" s="21"/>
      <c r="M46" s="21"/>
    </row>
    <row r="47" ht="15.75" customHeight="1">
      <c r="A47" s="13"/>
      <c r="B47" s="14"/>
      <c r="C47" s="14"/>
      <c r="D47" s="11"/>
      <c r="E47" s="17"/>
      <c r="F47" s="18"/>
      <c r="G47" s="18"/>
      <c r="H47" s="19"/>
      <c r="I47" s="21"/>
      <c r="J47" s="11"/>
      <c r="K47" s="21"/>
      <c r="L47" s="21"/>
      <c r="M47" s="21"/>
    </row>
    <row r="48" ht="15.75" customHeight="1">
      <c r="A48" s="13"/>
      <c r="B48" s="14"/>
      <c r="C48" s="14"/>
      <c r="D48" s="11"/>
      <c r="E48" s="17"/>
      <c r="F48" s="18"/>
      <c r="G48" s="18"/>
      <c r="H48" s="19"/>
      <c r="I48" s="21"/>
      <c r="J48" s="11"/>
      <c r="K48" s="21"/>
      <c r="L48" s="21"/>
      <c r="M48" s="21"/>
    </row>
    <row r="49" ht="15.75" customHeight="1">
      <c r="A49" s="13"/>
      <c r="B49" s="14"/>
      <c r="C49" s="14"/>
      <c r="D49" s="11"/>
      <c r="E49" s="17"/>
      <c r="F49" s="18"/>
      <c r="G49" s="18"/>
      <c r="H49" s="19"/>
      <c r="I49" s="21"/>
      <c r="J49" s="11"/>
      <c r="K49" s="21"/>
      <c r="L49" s="21"/>
      <c r="M49" s="21"/>
    </row>
    <row r="50" ht="15.75" customHeight="1">
      <c r="A50" s="13"/>
      <c r="B50" s="14"/>
      <c r="C50" s="14"/>
      <c r="D50" s="11"/>
      <c r="E50" s="17"/>
      <c r="F50" s="18"/>
      <c r="G50" s="18"/>
      <c r="H50" s="19"/>
      <c r="I50" s="21"/>
      <c r="J50" s="11"/>
      <c r="K50" s="21"/>
      <c r="L50" s="21"/>
      <c r="M50" s="21"/>
    </row>
    <row r="51" ht="15.75" customHeight="1">
      <c r="A51" s="13"/>
      <c r="B51" s="14"/>
      <c r="C51" s="14"/>
      <c r="D51" s="11"/>
      <c r="E51" s="17"/>
      <c r="F51" s="18"/>
      <c r="G51" s="18"/>
      <c r="H51" s="19"/>
      <c r="I51" s="21"/>
      <c r="J51" s="11"/>
      <c r="K51" s="21"/>
      <c r="L51" s="21"/>
      <c r="M51" s="21"/>
    </row>
    <row r="52" ht="15.75" customHeight="1">
      <c r="A52" s="13"/>
      <c r="B52" s="14"/>
      <c r="C52" s="14"/>
      <c r="D52" s="11"/>
      <c r="E52" s="17"/>
      <c r="F52" s="18"/>
      <c r="G52" s="18"/>
      <c r="H52" s="19"/>
      <c r="I52" s="21"/>
      <c r="J52" s="11"/>
      <c r="K52" s="21"/>
      <c r="L52" s="21"/>
      <c r="M52" s="21"/>
    </row>
    <row r="53" ht="15.75" customHeight="1">
      <c r="A53" s="13"/>
      <c r="B53" s="14"/>
      <c r="C53" s="14"/>
      <c r="D53" s="11"/>
      <c r="E53" s="17"/>
      <c r="F53" s="18"/>
      <c r="G53" s="18"/>
      <c r="H53" s="19"/>
      <c r="I53" s="21"/>
      <c r="J53" s="11"/>
      <c r="K53" s="21"/>
      <c r="L53" s="21"/>
      <c r="M53" s="21"/>
    </row>
    <row r="54" ht="15.75" customHeight="1">
      <c r="A54" s="13"/>
      <c r="B54" s="14"/>
      <c r="C54" s="14"/>
      <c r="D54" s="11"/>
      <c r="E54" s="17"/>
      <c r="F54" s="18"/>
      <c r="G54" s="18"/>
      <c r="H54" s="19"/>
      <c r="I54" s="21"/>
      <c r="J54" s="11"/>
      <c r="K54" s="21"/>
      <c r="L54" s="21"/>
      <c r="M54" s="21"/>
    </row>
    <row r="55" ht="15.75" customHeight="1">
      <c r="A55" s="13"/>
      <c r="B55" s="14"/>
      <c r="C55" s="14"/>
      <c r="D55" s="11"/>
      <c r="E55" s="17"/>
      <c r="F55" s="18"/>
      <c r="G55" s="18"/>
      <c r="H55" s="19"/>
      <c r="I55" s="21"/>
      <c r="J55" s="11"/>
      <c r="K55" s="21"/>
      <c r="L55" s="21"/>
      <c r="M55" s="21"/>
    </row>
    <row r="56" ht="15.75" customHeight="1">
      <c r="A56" s="13"/>
      <c r="B56" s="14"/>
      <c r="C56" s="14"/>
      <c r="D56" s="11"/>
      <c r="E56" s="17"/>
      <c r="F56" s="18"/>
      <c r="G56" s="18"/>
      <c r="H56" s="19"/>
      <c r="I56" s="21"/>
      <c r="J56" s="11"/>
      <c r="K56" s="21"/>
      <c r="L56" s="21"/>
      <c r="M56" s="21"/>
    </row>
    <row r="57" ht="15.75" customHeight="1">
      <c r="A57" s="13"/>
      <c r="B57" s="14"/>
      <c r="C57" s="14"/>
      <c r="D57" s="11"/>
      <c r="E57" s="17"/>
      <c r="F57" s="18"/>
      <c r="G57" s="18"/>
      <c r="H57" s="19"/>
      <c r="I57" s="21"/>
      <c r="J57" s="11"/>
      <c r="K57" s="21"/>
      <c r="L57" s="21"/>
      <c r="M57" s="21"/>
    </row>
    <row r="58" ht="15.75" customHeight="1">
      <c r="A58" s="13"/>
      <c r="B58" s="14"/>
      <c r="C58" s="14"/>
      <c r="D58" s="11"/>
      <c r="E58" s="17"/>
      <c r="F58" s="18"/>
      <c r="G58" s="18"/>
      <c r="H58" s="19"/>
      <c r="I58" s="21"/>
      <c r="J58" s="11"/>
      <c r="K58" s="21"/>
      <c r="L58" s="21"/>
      <c r="M58" s="21"/>
    </row>
    <row r="59" ht="15.75" customHeight="1">
      <c r="A59" s="13"/>
      <c r="B59" s="14"/>
      <c r="C59" s="14"/>
      <c r="D59" s="11"/>
      <c r="E59" s="17"/>
      <c r="F59" s="18"/>
      <c r="G59" s="18"/>
      <c r="H59" s="19"/>
      <c r="I59" s="21"/>
      <c r="J59" s="11"/>
      <c r="K59" s="21"/>
      <c r="L59" s="21"/>
      <c r="M59" s="21"/>
    </row>
    <row r="60" ht="15.75" customHeight="1">
      <c r="A60" s="13"/>
      <c r="B60" s="14"/>
      <c r="C60" s="14"/>
      <c r="D60" s="11"/>
      <c r="E60" s="17"/>
      <c r="F60" s="18"/>
      <c r="G60" s="18"/>
      <c r="H60" s="19"/>
      <c r="I60" s="21"/>
      <c r="J60" s="11"/>
      <c r="K60" s="21"/>
      <c r="L60" s="21"/>
      <c r="M60" s="21"/>
    </row>
    <row r="61" ht="15.75" customHeight="1">
      <c r="A61" s="13"/>
      <c r="B61" s="14"/>
      <c r="C61" s="14"/>
      <c r="D61" s="11"/>
      <c r="E61" s="17"/>
      <c r="F61" s="18"/>
      <c r="G61" s="18"/>
      <c r="H61" s="19"/>
      <c r="I61" s="21"/>
      <c r="J61" s="11"/>
      <c r="K61" s="21"/>
      <c r="L61" s="21"/>
      <c r="M61" s="21"/>
    </row>
    <row r="62" ht="15.75" customHeight="1">
      <c r="A62" s="13"/>
      <c r="B62" s="14"/>
      <c r="C62" s="14"/>
      <c r="D62" s="11"/>
      <c r="E62" s="17"/>
      <c r="F62" s="18"/>
      <c r="G62" s="18"/>
      <c r="H62" s="19"/>
      <c r="I62" s="21"/>
      <c r="J62" s="11"/>
      <c r="K62" s="21"/>
      <c r="L62" s="21"/>
      <c r="M62" s="21"/>
    </row>
    <row r="63" ht="15.75" customHeight="1">
      <c r="A63" s="13"/>
      <c r="B63" s="14"/>
      <c r="C63" s="14"/>
      <c r="D63" s="11"/>
      <c r="E63" s="17"/>
      <c r="F63" s="18"/>
      <c r="G63" s="18"/>
      <c r="H63" s="19"/>
      <c r="I63" s="21"/>
      <c r="J63" s="11"/>
      <c r="K63" s="21"/>
      <c r="L63" s="21"/>
      <c r="M63" s="21"/>
    </row>
    <row r="64" ht="15.75" customHeight="1">
      <c r="A64" s="13"/>
      <c r="B64" s="14"/>
      <c r="C64" s="14"/>
      <c r="D64" s="11"/>
      <c r="E64" s="17"/>
      <c r="F64" s="18"/>
      <c r="G64" s="18"/>
      <c r="H64" s="19"/>
      <c r="I64" s="21"/>
      <c r="J64" s="11"/>
      <c r="K64" s="21"/>
      <c r="L64" s="21"/>
      <c r="M64" s="21"/>
    </row>
    <row r="65" ht="15.75" customHeight="1">
      <c r="A65" s="13"/>
      <c r="B65" s="14"/>
      <c r="C65" s="14"/>
      <c r="D65" s="11"/>
      <c r="E65" s="17"/>
      <c r="F65" s="18"/>
      <c r="G65" s="18"/>
      <c r="H65" s="19"/>
      <c r="I65" s="21"/>
      <c r="J65" s="11"/>
      <c r="K65" s="21"/>
      <c r="L65" s="21"/>
      <c r="M65" s="21"/>
    </row>
    <row r="66" ht="15.75" customHeight="1">
      <c r="A66" s="13"/>
      <c r="B66" s="14"/>
      <c r="C66" s="14"/>
      <c r="D66" s="11"/>
      <c r="E66" s="17"/>
      <c r="F66" s="18"/>
      <c r="G66" s="18"/>
      <c r="H66" s="19"/>
      <c r="I66" s="21"/>
      <c r="J66" s="11"/>
      <c r="K66" s="21"/>
      <c r="L66" s="21"/>
      <c r="M66" s="21"/>
    </row>
    <row r="67" ht="15.75" customHeight="1">
      <c r="A67" s="13"/>
      <c r="B67" s="14"/>
      <c r="C67" s="14"/>
      <c r="D67" s="11"/>
      <c r="E67" s="17"/>
      <c r="F67" s="18"/>
      <c r="G67" s="18"/>
      <c r="H67" s="19"/>
      <c r="I67" s="21"/>
      <c r="J67" s="11"/>
      <c r="K67" s="21"/>
      <c r="L67" s="21"/>
      <c r="M67" s="21"/>
    </row>
    <row r="68" ht="15.75" customHeight="1">
      <c r="A68" s="13"/>
      <c r="B68" s="14"/>
      <c r="C68" s="14"/>
      <c r="D68" s="11"/>
      <c r="E68" s="17"/>
      <c r="F68" s="18"/>
      <c r="G68" s="18"/>
      <c r="H68" s="19"/>
      <c r="I68" s="21"/>
      <c r="J68" s="11"/>
      <c r="K68" s="21"/>
      <c r="L68" s="21"/>
      <c r="M68" s="21"/>
    </row>
    <row r="69" ht="15.75" customHeight="1">
      <c r="A69" s="13"/>
      <c r="B69" s="14"/>
      <c r="C69" s="14"/>
      <c r="D69" s="11"/>
      <c r="E69" s="17"/>
      <c r="F69" s="18"/>
      <c r="G69" s="18"/>
      <c r="H69" s="19"/>
      <c r="I69" s="21"/>
      <c r="J69" s="11"/>
      <c r="K69" s="21"/>
      <c r="L69" s="21"/>
      <c r="M69" s="21"/>
    </row>
    <row r="70" ht="15.75" customHeight="1">
      <c r="A70" s="13"/>
      <c r="B70" s="14"/>
      <c r="C70" s="14"/>
      <c r="D70" s="11"/>
      <c r="E70" s="17"/>
      <c r="F70" s="18"/>
      <c r="G70" s="18"/>
      <c r="H70" s="19"/>
      <c r="I70" s="21"/>
      <c r="J70" s="11"/>
      <c r="K70" s="21"/>
      <c r="L70" s="21"/>
      <c r="M70" s="21"/>
    </row>
    <row r="71" ht="15.75" customHeight="1">
      <c r="A71" s="13"/>
      <c r="B71" s="14"/>
      <c r="C71" s="14"/>
      <c r="D71" s="11"/>
      <c r="E71" s="17"/>
      <c r="F71" s="18"/>
      <c r="G71" s="18"/>
      <c r="H71" s="19"/>
      <c r="I71" s="21"/>
      <c r="J71" s="11"/>
      <c r="K71" s="21"/>
      <c r="L71" s="21"/>
      <c r="M71" s="21"/>
    </row>
    <row r="72" ht="15.75" customHeight="1">
      <c r="A72" s="13"/>
      <c r="B72" s="14"/>
      <c r="C72" s="14"/>
      <c r="D72" s="11"/>
      <c r="E72" s="17"/>
      <c r="F72" s="18"/>
      <c r="G72" s="18"/>
      <c r="H72" s="19"/>
      <c r="I72" s="21"/>
      <c r="J72" s="11"/>
      <c r="K72" s="21"/>
      <c r="L72" s="21"/>
      <c r="M72" s="21"/>
    </row>
    <row r="73" ht="15.75" customHeight="1">
      <c r="A73" s="13"/>
      <c r="B73" s="14"/>
      <c r="C73" s="14"/>
      <c r="D73" s="11"/>
      <c r="E73" s="17"/>
      <c r="F73" s="18"/>
      <c r="G73" s="18"/>
      <c r="H73" s="19"/>
      <c r="I73" s="21"/>
      <c r="J73" s="11"/>
      <c r="K73" s="21"/>
      <c r="L73" s="21"/>
      <c r="M73" s="21"/>
    </row>
    <row r="74" ht="15.75" customHeight="1">
      <c r="A74" s="13"/>
      <c r="B74" s="14"/>
      <c r="C74" s="14"/>
      <c r="D74" s="11"/>
      <c r="E74" s="17"/>
      <c r="F74" s="18"/>
      <c r="G74" s="18"/>
      <c r="H74" s="19"/>
      <c r="I74" s="21"/>
      <c r="J74" s="11"/>
      <c r="K74" s="21"/>
      <c r="L74" s="21"/>
      <c r="M74" s="21"/>
    </row>
    <row r="75" ht="15.75" customHeight="1">
      <c r="A75" s="13"/>
      <c r="B75" s="11"/>
      <c r="C75" s="11"/>
      <c r="D75" s="11"/>
      <c r="E75" s="15"/>
      <c r="F75" s="16"/>
      <c r="G75" s="16"/>
      <c r="H75" s="19"/>
      <c r="I75" s="21"/>
      <c r="J75" s="11"/>
      <c r="K75" s="21"/>
      <c r="L75" s="21"/>
      <c r="M75" s="21"/>
    </row>
    <row r="76" ht="15.75" customHeight="1">
      <c r="A76" s="13"/>
      <c r="B76" s="14"/>
      <c r="C76" s="14"/>
      <c r="D76" s="11"/>
      <c r="E76" s="17"/>
      <c r="F76" s="18"/>
      <c r="G76" s="18"/>
      <c r="H76" s="19"/>
      <c r="I76" s="21"/>
      <c r="J76" s="11"/>
      <c r="K76" s="21"/>
      <c r="L76" s="21"/>
      <c r="M76" s="21"/>
    </row>
    <row r="77" ht="15.75" customHeight="1">
      <c r="A77" s="13"/>
      <c r="B77" s="14"/>
      <c r="C77" s="14"/>
      <c r="D77" s="11"/>
      <c r="E77" s="17"/>
      <c r="F77" s="18"/>
      <c r="G77" s="18"/>
      <c r="H77" s="19"/>
      <c r="I77" s="21"/>
      <c r="J77" s="11"/>
      <c r="K77" s="21"/>
      <c r="L77" s="21"/>
      <c r="M77" s="21"/>
    </row>
    <row r="78" ht="15.75" customHeight="1">
      <c r="A78" s="13"/>
      <c r="B78" s="14"/>
      <c r="C78" s="14"/>
      <c r="D78" s="11"/>
      <c r="E78" s="17"/>
      <c r="F78" s="18"/>
      <c r="G78" s="18"/>
      <c r="H78" s="19"/>
      <c r="I78" s="21"/>
      <c r="J78" s="11"/>
      <c r="K78" s="21"/>
      <c r="L78" s="21"/>
      <c r="M78" s="21"/>
    </row>
    <row r="79" ht="15.75" customHeight="1">
      <c r="A79" s="13"/>
      <c r="B79" s="14"/>
      <c r="C79" s="14"/>
      <c r="D79" s="11"/>
      <c r="E79" s="17"/>
      <c r="F79" s="18"/>
      <c r="G79" s="18"/>
      <c r="H79" s="19"/>
      <c r="I79" s="21"/>
      <c r="J79" s="11"/>
      <c r="K79" s="21"/>
      <c r="L79" s="21"/>
      <c r="M79" s="21"/>
    </row>
    <row r="80" ht="15.75" customHeight="1">
      <c r="A80" s="13"/>
      <c r="B80" s="14"/>
      <c r="C80" s="14"/>
      <c r="D80" s="11"/>
      <c r="E80" s="17"/>
      <c r="F80" s="18"/>
      <c r="G80" s="18"/>
      <c r="H80" s="19"/>
      <c r="I80" s="21"/>
      <c r="J80" s="11"/>
      <c r="K80" s="21"/>
      <c r="L80" s="21"/>
      <c r="M80" s="21"/>
    </row>
    <row r="81" ht="15.75" customHeight="1">
      <c r="A81" s="13"/>
      <c r="B81" s="14"/>
      <c r="C81" s="14"/>
      <c r="D81" s="11"/>
      <c r="E81" s="17"/>
      <c r="F81" s="18"/>
      <c r="G81" s="18"/>
      <c r="H81" s="19"/>
      <c r="I81" s="21"/>
      <c r="J81" s="11"/>
      <c r="K81" s="21"/>
      <c r="L81" s="21"/>
      <c r="M81" s="21"/>
    </row>
    <row r="82" ht="15.75" customHeight="1">
      <c r="A82" s="13"/>
      <c r="B82" s="14"/>
      <c r="C82" s="14"/>
      <c r="D82" s="11"/>
      <c r="E82" s="17"/>
      <c r="F82" s="18"/>
      <c r="G82" s="18"/>
      <c r="H82" s="19"/>
      <c r="I82" s="21"/>
      <c r="J82" s="11"/>
      <c r="K82" s="21"/>
      <c r="L82" s="21"/>
      <c r="M82" s="21"/>
    </row>
    <row r="83" ht="15.75" customHeight="1">
      <c r="A83" s="13"/>
      <c r="B83" s="14"/>
      <c r="C83" s="14"/>
      <c r="D83" s="11"/>
      <c r="E83" s="17"/>
      <c r="F83" s="18"/>
      <c r="G83" s="18"/>
      <c r="H83" s="19"/>
      <c r="I83" s="21"/>
      <c r="J83" s="11"/>
      <c r="K83" s="21"/>
      <c r="L83" s="21"/>
      <c r="M83" s="21"/>
    </row>
    <row r="84" ht="15.75" customHeight="1">
      <c r="A84" s="13"/>
      <c r="B84" s="14"/>
      <c r="C84" s="14"/>
      <c r="D84" s="11"/>
      <c r="E84" s="17"/>
      <c r="F84" s="18"/>
      <c r="G84" s="18"/>
      <c r="H84" s="19"/>
      <c r="I84" s="21"/>
      <c r="J84" s="11"/>
      <c r="K84" s="21"/>
      <c r="L84" s="21"/>
      <c r="M84" s="21"/>
    </row>
    <row r="85" ht="15.75" customHeight="1">
      <c r="A85" s="13"/>
      <c r="B85" s="14"/>
      <c r="C85" s="14"/>
      <c r="D85" s="11"/>
      <c r="E85" s="17"/>
      <c r="F85" s="18"/>
      <c r="G85" s="18"/>
      <c r="H85" s="19"/>
      <c r="I85" s="21"/>
      <c r="J85" s="11"/>
      <c r="K85" s="21"/>
      <c r="L85" s="21"/>
      <c r="M85" s="21"/>
    </row>
    <row r="86" ht="15.75" customHeight="1">
      <c r="A86" s="13"/>
      <c r="B86" s="14"/>
      <c r="C86" s="14"/>
      <c r="D86" s="11"/>
      <c r="E86" s="17"/>
      <c r="F86" s="18"/>
      <c r="G86" s="18"/>
      <c r="H86" s="19"/>
      <c r="I86" s="21"/>
      <c r="J86" s="11"/>
      <c r="K86" s="21"/>
      <c r="L86" s="21"/>
      <c r="M86" s="21"/>
    </row>
    <row r="87" ht="15.75" customHeight="1">
      <c r="A87" s="13"/>
      <c r="B87" s="14"/>
      <c r="C87" s="14"/>
      <c r="D87" s="11"/>
      <c r="E87" s="17"/>
      <c r="F87" s="18"/>
      <c r="G87" s="18"/>
      <c r="H87" s="19"/>
      <c r="I87" s="21"/>
      <c r="J87" s="11"/>
      <c r="K87" s="21"/>
      <c r="L87" s="21"/>
      <c r="M87" s="21"/>
    </row>
    <row r="88" ht="15.75" customHeight="1">
      <c r="A88" s="13"/>
      <c r="B88" s="14"/>
      <c r="C88" s="14"/>
      <c r="D88" s="11"/>
      <c r="E88" s="17"/>
      <c r="F88" s="18"/>
      <c r="G88" s="18"/>
      <c r="H88" s="19"/>
      <c r="I88" s="21"/>
      <c r="J88" s="11"/>
      <c r="K88" s="21"/>
      <c r="L88" s="21"/>
      <c r="M88" s="21"/>
    </row>
    <row r="89" ht="15.75" customHeight="1">
      <c r="A89" s="13"/>
      <c r="B89" s="14"/>
      <c r="C89" s="14"/>
      <c r="D89" s="11"/>
      <c r="E89" s="17"/>
      <c r="F89" s="18"/>
      <c r="G89" s="18"/>
      <c r="H89" s="19"/>
      <c r="I89" s="21"/>
      <c r="J89" s="11"/>
      <c r="K89" s="21"/>
      <c r="L89" s="21"/>
      <c r="M89" s="21"/>
    </row>
    <row r="90" ht="15.75" customHeight="1">
      <c r="A90" s="13"/>
      <c r="B90" s="14"/>
      <c r="C90" s="14"/>
      <c r="D90" s="11"/>
      <c r="E90" s="17"/>
      <c r="F90" s="18"/>
      <c r="G90" s="18"/>
      <c r="H90" s="19"/>
      <c r="I90" s="21"/>
      <c r="J90" s="11"/>
      <c r="K90" s="21"/>
      <c r="L90" s="21"/>
      <c r="M90" s="21"/>
    </row>
    <row r="91" ht="15.75" customHeight="1">
      <c r="A91" s="13"/>
      <c r="B91" s="14"/>
      <c r="C91" s="14"/>
      <c r="D91" s="11"/>
      <c r="E91" s="17"/>
      <c r="F91" s="18"/>
      <c r="G91" s="18"/>
      <c r="H91" s="19"/>
      <c r="I91" s="21"/>
      <c r="J91" s="11"/>
      <c r="K91" s="21"/>
      <c r="L91" s="21"/>
      <c r="M91" s="21"/>
    </row>
    <row r="92" ht="15.75" customHeight="1">
      <c r="A92" s="13"/>
      <c r="B92" s="14"/>
      <c r="C92" s="14"/>
      <c r="D92" s="11"/>
      <c r="E92" s="17"/>
      <c r="F92" s="18"/>
      <c r="G92" s="18"/>
      <c r="H92" s="19"/>
      <c r="I92" s="21"/>
      <c r="J92" s="11"/>
      <c r="K92" s="21"/>
      <c r="L92" s="21"/>
      <c r="M92" s="21"/>
    </row>
    <row r="93" ht="15.75" customHeight="1">
      <c r="A93" s="13"/>
      <c r="B93" s="14"/>
      <c r="C93" s="14"/>
      <c r="D93" s="11"/>
      <c r="E93" s="17"/>
      <c r="F93" s="18"/>
      <c r="G93" s="18"/>
      <c r="H93" s="19"/>
      <c r="I93" s="21"/>
      <c r="J93" s="11"/>
      <c r="K93" s="21"/>
      <c r="L93" s="21"/>
      <c r="M93" s="21"/>
    </row>
    <row r="94" ht="15.75" customHeight="1">
      <c r="A94" s="13"/>
      <c r="B94" s="14"/>
      <c r="C94" s="14"/>
      <c r="D94" s="11"/>
      <c r="E94" s="17"/>
      <c r="F94" s="18"/>
      <c r="G94" s="18"/>
      <c r="H94" s="19"/>
      <c r="I94" s="21"/>
      <c r="J94" s="11"/>
      <c r="K94" s="21"/>
      <c r="L94" s="21"/>
      <c r="M94" s="21"/>
    </row>
    <row r="95" ht="15.75" customHeight="1">
      <c r="A95" s="13"/>
      <c r="B95" s="14"/>
      <c r="C95" s="14"/>
      <c r="D95" s="11"/>
      <c r="E95" s="17"/>
      <c r="F95" s="18"/>
      <c r="G95" s="18"/>
      <c r="H95" s="19"/>
      <c r="I95" s="21"/>
      <c r="J95" s="11"/>
      <c r="K95" s="21"/>
      <c r="L95" s="21"/>
      <c r="M95" s="21"/>
    </row>
    <row r="96" ht="15.75" customHeight="1">
      <c r="A96" s="13"/>
      <c r="B96" s="14"/>
      <c r="C96" s="14"/>
      <c r="D96" s="11"/>
      <c r="E96" s="17"/>
      <c r="F96" s="18"/>
      <c r="G96" s="18"/>
      <c r="H96" s="19"/>
      <c r="I96" s="21"/>
      <c r="J96" s="11"/>
      <c r="K96" s="21"/>
      <c r="L96" s="21"/>
      <c r="M96" s="21"/>
    </row>
    <row r="97" ht="15.75" customHeight="1">
      <c r="A97" s="13"/>
      <c r="B97" s="14"/>
      <c r="C97" s="14"/>
      <c r="D97" s="11"/>
      <c r="E97" s="17"/>
      <c r="F97" s="18"/>
      <c r="G97" s="18"/>
      <c r="H97" s="19"/>
      <c r="I97" s="21"/>
      <c r="J97" s="11"/>
      <c r="K97" s="21"/>
      <c r="L97" s="21"/>
      <c r="M97" s="21"/>
    </row>
    <row r="98" ht="15.75" customHeight="1">
      <c r="A98" s="13"/>
      <c r="B98" s="14"/>
      <c r="C98" s="14"/>
      <c r="D98" s="11"/>
      <c r="E98" s="17"/>
      <c r="F98" s="18"/>
      <c r="G98" s="18"/>
      <c r="H98" s="19"/>
      <c r="I98" s="21"/>
      <c r="J98" s="11"/>
      <c r="K98" s="21"/>
      <c r="L98" s="21"/>
      <c r="M98" s="21"/>
    </row>
    <row r="99" ht="15.75" customHeight="1">
      <c r="A99" s="13"/>
      <c r="B99" s="14"/>
      <c r="C99" s="14"/>
      <c r="D99" s="11"/>
      <c r="E99" s="17"/>
      <c r="F99" s="18"/>
      <c r="G99" s="18"/>
      <c r="H99" s="19"/>
      <c r="I99" s="21"/>
      <c r="J99" s="11"/>
      <c r="K99" s="21"/>
      <c r="L99" s="21"/>
      <c r="M99" s="21"/>
    </row>
    <row r="100" ht="15.75" customHeight="1">
      <c r="A100" s="13"/>
      <c r="B100" s="11"/>
      <c r="C100" s="11"/>
      <c r="D100" s="11"/>
      <c r="E100" s="15"/>
      <c r="F100" s="16"/>
      <c r="G100" s="16"/>
      <c r="H100" s="19"/>
      <c r="I100" s="21"/>
      <c r="J100" s="11"/>
      <c r="K100" s="21"/>
      <c r="L100" s="21"/>
      <c r="M100" s="21"/>
    </row>
    <row r="101" ht="15.75" customHeight="1">
      <c r="A101" s="13"/>
      <c r="B101" s="11"/>
      <c r="C101" s="11"/>
      <c r="D101" s="11"/>
      <c r="E101" s="15"/>
      <c r="F101" s="16"/>
      <c r="G101" s="16"/>
      <c r="H101" s="19"/>
      <c r="I101" s="21"/>
      <c r="J101" s="11"/>
      <c r="K101" s="21"/>
      <c r="L101" s="21"/>
      <c r="M101" s="21"/>
    </row>
    <row r="102" ht="15.75" customHeight="1">
      <c r="A102" s="13"/>
      <c r="B102" s="11"/>
      <c r="C102" s="11"/>
      <c r="D102" s="11"/>
      <c r="E102" s="15"/>
      <c r="F102" s="16"/>
      <c r="G102" s="16"/>
      <c r="H102" s="19"/>
      <c r="I102" s="21"/>
      <c r="J102" s="11"/>
      <c r="K102" s="21"/>
      <c r="L102" s="21"/>
      <c r="M102" s="21"/>
    </row>
    <row r="103" ht="15.75" customHeight="1">
      <c r="A103" s="13"/>
      <c r="B103" s="14"/>
      <c r="C103" s="14"/>
      <c r="D103" s="11"/>
      <c r="E103" s="15"/>
      <c r="F103" s="18"/>
      <c r="G103" s="18"/>
      <c r="H103" s="19"/>
      <c r="I103" s="21"/>
      <c r="J103" s="11"/>
      <c r="K103" s="21"/>
      <c r="L103" s="21"/>
      <c r="M103" s="21"/>
    </row>
    <row r="104" ht="15.75" customHeight="1">
      <c r="A104" s="13"/>
      <c r="B104" s="14"/>
      <c r="C104" s="14"/>
      <c r="D104" s="11"/>
      <c r="E104" s="15"/>
      <c r="F104" s="18"/>
      <c r="G104" s="18"/>
      <c r="H104" s="19"/>
      <c r="I104" s="21"/>
      <c r="J104" s="11"/>
      <c r="K104" s="21"/>
      <c r="L104" s="21"/>
      <c r="M104" s="21"/>
    </row>
    <row r="105" ht="15.75" customHeight="1">
      <c r="A105" s="13"/>
      <c r="B105" s="14"/>
      <c r="C105" s="14"/>
      <c r="D105" s="11"/>
      <c r="E105" s="15"/>
      <c r="F105" s="18"/>
      <c r="G105" s="18"/>
      <c r="H105" s="19"/>
      <c r="I105" s="21"/>
      <c r="J105" s="11"/>
      <c r="K105" s="21"/>
      <c r="L105" s="21"/>
      <c r="M105" s="21"/>
    </row>
    <row r="106" ht="15.75" customHeight="1">
      <c r="A106" s="13"/>
      <c r="B106" s="14"/>
      <c r="C106" s="14"/>
      <c r="D106" s="11"/>
      <c r="E106" s="15"/>
      <c r="F106" s="18"/>
      <c r="G106" s="18"/>
      <c r="H106" s="19"/>
      <c r="I106" s="21"/>
      <c r="J106" s="11"/>
      <c r="K106" s="21"/>
      <c r="L106" s="21"/>
      <c r="M106" s="21"/>
    </row>
    <row r="107" ht="15.75" customHeight="1">
      <c r="A107" s="13"/>
      <c r="B107" s="14"/>
      <c r="C107" s="14"/>
      <c r="D107" s="11"/>
      <c r="E107" s="15"/>
      <c r="F107" s="18"/>
      <c r="G107" s="18"/>
      <c r="H107" s="19"/>
      <c r="I107" s="21"/>
      <c r="J107" s="11"/>
      <c r="K107" s="21"/>
      <c r="L107" s="21"/>
      <c r="M107" s="21"/>
    </row>
    <row r="108" ht="15.75" customHeight="1">
      <c r="A108" s="13"/>
      <c r="B108" s="14"/>
      <c r="C108" s="14"/>
      <c r="D108" s="11"/>
      <c r="E108" s="17"/>
      <c r="F108" s="18"/>
      <c r="G108" s="18"/>
      <c r="H108" s="19"/>
      <c r="I108" s="21"/>
      <c r="J108" s="11"/>
      <c r="K108" s="21"/>
      <c r="L108" s="21"/>
      <c r="M108" s="21"/>
    </row>
    <row r="109" ht="15.75" customHeight="1">
      <c r="A109" s="13"/>
      <c r="B109" s="14"/>
      <c r="C109" s="14"/>
      <c r="D109" s="11"/>
      <c r="E109" s="17"/>
      <c r="F109" s="18"/>
      <c r="G109" s="18"/>
      <c r="H109" s="19"/>
      <c r="I109" s="21"/>
      <c r="J109" s="11"/>
      <c r="K109" s="21"/>
      <c r="L109" s="21"/>
      <c r="M109" s="21"/>
    </row>
    <row r="110" ht="15.75" customHeight="1">
      <c r="A110" s="13"/>
      <c r="B110" s="14"/>
      <c r="C110" s="14"/>
      <c r="D110" s="11"/>
      <c r="E110" s="17"/>
      <c r="F110" s="18"/>
      <c r="G110" s="18"/>
      <c r="H110" s="19"/>
      <c r="I110" s="21"/>
      <c r="J110" s="11"/>
      <c r="K110" s="21"/>
      <c r="L110" s="21"/>
      <c r="M110" s="21"/>
    </row>
    <row r="111" ht="15.75" customHeight="1">
      <c r="A111" s="13"/>
      <c r="B111" s="14"/>
      <c r="C111" s="14"/>
      <c r="D111" s="11"/>
      <c r="E111" s="17"/>
      <c r="F111" s="18"/>
      <c r="G111" s="18"/>
      <c r="H111" s="19"/>
      <c r="I111" s="21"/>
      <c r="J111" s="11"/>
      <c r="K111" s="21"/>
      <c r="L111" s="21"/>
      <c r="M111" s="21"/>
    </row>
    <row r="112" ht="15.75" customHeight="1">
      <c r="A112" s="13"/>
      <c r="B112" s="14"/>
      <c r="C112" s="14"/>
      <c r="D112" s="11"/>
      <c r="E112" s="17"/>
      <c r="F112" s="18"/>
      <c r="G112" s="18"/>
      <c r="H112" s="19"/>
      <c r="I112" s="21"/>
      <c r="J112" s="11"/>
      <c r="K112" s="21"/>
      <c r="L112" s="21"/>
      <c r="M112" s="21"/>
    </row>
    <row r="113" ht="15.75" customHeight="1">
      <c r="A113" s="13"/>
      <c r="B113" s="14"/>
      <c r="C113" s="14"/>
      <c r="D113" s="11"/>
      <c r="E113" s="17"/>
      <c r="F113" s="18"/>
      <c r="G113" s="18"/>
      <c r="H113" s="19"/>
      <c r="I113" s="21"/>
      <c r="J113" s="11"/>
      <c r="K113" s="21"/>
      <c r="L113" s="21"/>
      <c r="M113" s="21"/>
    </row>
    <row r="114" ht="15.75" customHeight="1">
      <c r="A114" s="13"/>
      <c r="B114" s="14"/>
      <c r="C114" s="14"/>
      <c r="D114" s="11"/>
      <c r="E114" s="17"/>
      <c r="F114" s="18"/>
      <c r="G114" s="18"/>
      <c r="H114" s="19"/>
      <c r="I114" s="21"/>
      <c r="J114" s="11"/>
      <c r="K114" s="21"/>
      <c r="L114" s="21"/>
      <c r="M114" s="21"/>
    </row>
    <row r="115" ht="15.75" customHeight="1">
      <c r="A115" s="13"/>
      <c r="B115" s="14"/>
      <c r="C115" s="14"/>
      <c r="D115" s="11"/>
      <c r="E115" s="17"/>
      <c r="F115" s="18"/>
      <c r="G115" s="18"/>
      <c r="H115" s="19"/>
      <c r="I115" s="21"/>
      <c r="J115" s="11"/>
      <c r="K115" s="21"/>
      <c r="L115" s="21"/>
      <c r="M115" s="21"/>
    </row>
    <row r="116" ht="15.75" customHeight="1">
      <c r="A116" s="13"/>
      <c r="B116" s="14"/>
      <c r="C116" s="14"/>
      <c r="D116" s="11"/>
      <c r="E116" s="17"/>
      <c r="F116" s="18"/>
      <c r="G116" s="18"/>
      <c r="H116" s="19"/>
      <c r="I116" s="21"/>
      <c r="J116" s="11"/>
      <c r="K116" s="21"/>
      <c r="L116" s="21"/>
      <c r="M116" s="21"/>
    </row>
    <row r="117" ht="15.75" customHeight="1">
      <c r="A117" s="13"/>
      <c r="B117" s="14"/>
      <c r="C117" s="14"/>
      <c r="D117" s="11"/>
      <c r="E117" s="17"/>
      <c r="F117" s="18"/>
      <c r="G117" s="18"/>
      <c r="H117" s="19"/>
      <c r="I117" s="21"/>
      <c r="J117" s="11"/>
      <c r="K117" s="21"/>
      <c r="L117" s="21"/>
      <c r="M117" s="21"/>
    </row>
    <row r="118" ht="15.75" customHeight="1">
      <c r="A118" s="13"/>
      <c r="B118" s="14"/>
      <c r="C118" s="14"/>
      <c r="D118" s="11"/>
      <c r="E118" s="17"/>
      <c r="F118" s="18"/>
      <c r="G118" s="18"/>
      <c r="H118" s="19"/>
      <c r="I118" s="21"/>
      <c r="J118" s="11"/>
      <c r="K118" s="21"/>
      <c r="L118" s="21"/>
      <c r="M118" s="21"/>
    </row>
    <row r="119" ht="15.75" customHeight="1">
      <c r="A119" s="13"/>
      <c r="B119" s="14"/>
      <c r="C119" s="14"/>
      <c r="D119" s="11"/>
      <c r="E119" s="17"/>
      <c r="F119" s="18"/>
      <c r="G119" s="18"/>
      <c r="H119" s="19"/>
      <c r="I119" s="21"/>
      <c r="J119" s="11"/>
      <c r="K119" s="21"/>
      <c r="L119" s="21"/>
      <c r="M119" s="21"/>
    </row>
    <row r="120" ht="15.75" customHeight="1">
      <c r="A120" s="13"/>
      <c r="B120" s="14"/>
      <c r="C120" s="14"/>
      <c r="D120" s="11"/>
      <c r="E120" s="17"/>
      <c r="F120" s="18"/>
      <c r="G120" s="18"/>
      <c r="H120" s="19"/>
      <c r="I120" s="21"/>
      <c r="J120" s="11"/>
      <c r="K120" s="21"/>
      <c r="L120" s="21"/>
      <c r="M120" s="21"/>
    </row>
    <row r="121" ht="15.75" customHeight="1">
      <c r="A121" s="13"/>
      <c r="B121" s="14"/>
      <c r="C121" s="14"/>
      <c r="D121" s="11"/>
      <c r="E121" s="17"/>
      <c r="F121" s="18"/>
      <c r="G121" s="18"/>
      <c r="H121" s="19"/>
      <c r="I121" s="21"/>
      <c r="J121" s="11"/>
      <c r="K121" s="21"/>
      <c r="L121" s="21"/>
      <c r="M121" s="21"/>
    </row>
    <row r="122" ht="15.75" customHeight="1">
      <c r="A122" s="13"/>
      <c r="B122" s="14"/>
      <c r="C122" s="14"/>
      <c r="D122" s="11"/>
      <c r="E122" s="17"/>
      <c r="F122" s="18"/>
      <c r="G122" s="18"/>
      <c r="H122" s="19"/>
      <c r="I122" s="21"/>
      <c r="J122" s="11"/>
      <c r="K122" s="21"/>
      <c r="L122" s="21"/>
      <c r="M122" s="21"/>
    </row>
    <row r="123" ht="15.75" customHeight="1">
      <c r="A123" s="13"/>
      <c r="B123" s="14"/>
      <c r="C123" s="14"/>
      <c r="D123" s="11"/>
      <c r="E123" s="17"/>
      <c r="F123" s="18"/>
      <c r="G123" s="18"/>
      <c r="H123" s="19"/>
      <c r="I123" s="21"/>
      <c r="J123" s="11"/>
      <c r="K123" s="21"/>
      <c r="L123" s="21"/>
      <c r="M123" s="21"/>
    </row>
    <row r="124" ht="15.75" customHeight="1">
      <c r="A124" s="13"/>
      <c r="B124" s="14"/>
      <c r="C124" s="14"/>
      <c r="D124" s="11"/>
      <c r="E124" s="17"/>
      <c r="F124" s="18"/>
      <c r="G124" s="18"/>
      <c r="H124" s="19"/>
      <c r="I124" s="21"/>
      <c r="J124" s="11"/>
      <c r="K124" s="21"/>
      <c r="L124" s="21"/>
      <c r="M124" s="21"/>
    </row>
    <row r="125" ht="15.75" customHeight="1">
      <c r="A125" s="13"/>
      <c r="B125" s="14"/>
      <c r="C125" s="14"/>
      <c r="D125" s="11"/>
      <c r="E125" s="17"/>
      <c r="F125" s="18"/>
      <c r="G125" s="18"/>
      <c r="H125" s="19"/>
      <c r="I125" s="21"/>
      <c r="J125" s="11"/>
      <c r="K125" s="21"/>
      <c r="L125" s="21"/>
      <c r="M125" s="21"/>
    </row>
    <row r="126" ht="15.75" customHeight="1">
      <c r="A126" s="13"/>
      <c r="B126" s="14"/>
      <c r="C126" s="14"/>
      <c r="D126" s="11"/>
      <c r="E126" s="17"/>
      <c r="F126" s="18"/>
      <c r="G126" s="18"/>
      <c r="H126" s="19"/>
      <c r="I126" s="21"/>
      <c r="J126" s="11"/>
      <c r="K126" s="21"/>
      <c r="L126" s="21"/>
      <c r="M126" s="21"/>
    </row>
    <row r="127" ht="15.75" customHeight="1">
      <c r="A127" s="13"/>
      <c r="B127" s="14"/>
      <c r="C127" s="14"/>
      <c r="D127" s="11"/>
      <c r="E127" s="17"/>
      <c r="F127" s="18"/>
      <c r="G127" s="18"/>
      <c r="H127" s="19"/>
      <c r="I127" s="21"/>
      <c r="J127" s="11"/>
      <c r="K127" s="21"/>
      <c r="L127" s="21"/>
      <c r="M127" s="21"/>
    </row>
    <row r="128" ht="15.75" customHeight="1">
      <c r="A128" s="13"/>
      <c r="B128" s="14"/>
      <c r="C128" s="14"/>
      <c r="D128" s="11"/>
      <c r="E128" s="17"/>
      <c r="F128" s="18"/>
      <c r="G128" s="18"/>
      <c r="H128" s="19"/>
      <c r="I128" s="21"/>
      <c r="J128" s="11"/>
      <c r="K128" s="21"/>
      <c r="L128" s="21"/>
      <c r="M128" s="21"/>
    </row>
    <row r="129" ht="15.75" customHeight="1">
      <c r="A129" s="13"/>
      <c r="B129" s="14"/>
      <c r="C129" s="14"/>
      <c r="D129" s="11"/>
      <c r="E129" s="17"/>
      <c r="F129" s="18"/>
      <c r="G129" s="18"/>
      <c r="H129" s="19"/>
      <c r="I129" s="21"/>
      <c r="J129" s="11"/>
      <c r="K129" s="21"/>
      <c r="L129" s="21"/>
      <c r="M129" s="21"/>
    </row>
    <row r="130" ht="15.75" customHeight="1">
      <c r="A130" s="13"/>
      <c r="B130" s="14"/>
      <c r="C130" s="14"/>
      <c r="D130" s="11"/>
      <c r="E130" s="17"/>
      <c r="F130" s="18"/>
      <c r="G130" s="18"/>
      <c r="H130" s="19"/>
      <c r="I130" s="21"/>
      <c r="J130" s="11"/>
      <c r="K130" s="21"/>
      <c r="L130" s="21"/>
      <c r="M130" s="21"/>
    </row>
    <row r="131" ht="15.75" customHeight="1">
      <c r="A131" s="13"/>
      <c r="B131" s="14"/>
      <c r="C131" s="14"/>
      <c r="D131" s="11"/>
      <c r="E131" s="17"/>
      <c r="F131" s="18"/>
      <c r="G131" s="18"/>
      <c r="H131" s="19"/>
      <c r="I131" s="21"/>
      <c r="J131" s="11"/>
      <c r="K131" s="21"/>
      <c r="L131" s="21"/>
      <c r="M131" s="21"/>
    </row>
    <row r="132" ht="15.75" customHeight="1">
      <c r="A132" s="13"/>
      <c r="B132" s="14"/>
      <c r="C132" s="14"/>
      <c r="D132" s="11"/>
      <c r="E132" s="17"/>
      <c r="F132" s="18"/>
      <c r="G132" s="18"/>
      <c r="H132" s="19"/>
      <c r="I132" s="21"/>
      <c r="J132" s="11"/>
      <c r="K132" s="21"/>
      <c r="L132" s="21"/>
      <c r="M132" s="21"/>
    </row>
    <row r="133" ht="15.75" customHeight="1">
      <c r="A133" s="13"/>
      <c r="B133" s="14"/>
      <c r="C133" s="14"/>
      <c r="D133" s="11"/>
      <c r="E133" s="17"/>
      <c r="F133" s="18"/>
      <c r="G133" s="18"/>
      <c r="H133" s="19"/>
      <c r="I133" s="21"/>
      <c r="J133" s="11"/>
      <c r="K133" s="21"/>
      <c r="L133" s="21"/>
      <c r="M133" s="21"/>
    </row>
    <row r="134" ht="15.75" customHeight="1">
      <c r="A134" s="13"/>
      <c r="B134" s="14"/>
      <c r="C134" s="14"/>
      <c r="D134" s="11"/>
      <c r="E134" s="17"/>
      <c r="F134" s="18"/>
      <c r="G134" s="18"/>
      <c r="H134" s="19"/>
      <c r="I134" s="21"/>
      <c r="J134" s="11"/>
      <c r="K134" s="21"/>
      <c r="L134" s="21"/>
      <c r="M134" s="21"/>
    </row>
    <row r="135" ht="15.75" customHeight="1">
      <c r="A135" s="13"/>
      <c r="B135" s="14"/>
      <c r="C135" s="14"/>
      <c r="D135" s="11"/>
      <c r="E135" s="17"/>
      <c r="F135" s="18"/>
      <c r="G135" s="18"/>
      <c r="H135" s="19"/>
      <c r="I135" s="21"/>
      <c r="J135" s="11"/>
      <c r="K135" s="21"/>
      <c r="L135" s="21"/>
      <c r="M135" s="21"/>
    </row>
    <row r="136" ht="15.75" customHeight="1">
      <c r="A136" s="13"/>
      <c r="B136" s="14"/>
      <c r="C136" s="14"/>
      <c r="D136" s="11"/>
      <c r="E136" s="17"/>
      <c r="F136" s="18"/>
      <c r="G136" s="18"/>
      <c r="H136" s="19"/>
      <c r="I136" s="21"/>
      <c r="J136" s="11"/>
      <c r="K136" s="21"/>
      <c r="L136" s="21"/>
      <c r="M136" s="21"/>
    </row>
    <row r="137" ht="15.75" customHeight="1">
      <c r="A137" s="13"/>
      <c r="B137" s="14"/>
      <c r="C137" s="14"/>
      <c r="D137" s="11"/>
      <c r="E137" s="17"/>
      <c r="F137" s="18"/>
      <c r="G137" s="18"/>
      <c r="H137" s="19"/>
      <c r="I137" s="21"/>
      <c r="J137" s="11"/>
      <c r="K137" s="21"/>
      <c r="L137" s="21"/>
      <c r="M137" s="21"/>
    </row>
    <row r="138" ht="15.75" customHeight="1">
      <c r="A138" s="13"/>
      <c r="B138" s="14"/>
      <c r="C138" s="14"/>
      <c r="D138" s="11"/>
      <c r="E138" s="17"/>
      <c r="F138" s="18"/>
      <c r="G138" s="18"/>
      <c r="H138" s="19"/>
      <c r="I138" s="21"/>
      <c r="J138" s="11"/>
      <c r="K138" s="21"/>
      <c r="L138" s="21"/>
      <c r="M138" s="21"/>
    </row>
    <row r="139" ht="15.75" customHeight="1">
      <c r="A139" s="13"/>
      <c r="B139" s="14"/>
      <c r="C139" s="14"/>
      <c r="D139" s="11"/>
      <c r="E139" s="17"/>
      <c r="F139" s="18"/>
      <c r="G139" s="18"/>
      <c r="H139" s="19"/>
      <c r="I139" s="21"/>
      <c r="J139" s="11"/>
      <c r="K139" s="21"/>
      <c r="L139" s="21"/>
      <c r="M139" s="21"/>
    </row>
    <row r="140" ht="15.75" customHeight="1">
      <c r="A140" s="13"/>
      <c r="B140" s="14"/>
      <c r="C140" s="14"/>
      <c r="D140" s="11"/>
      <c r="E140" s="17"/>
      <c r="F140" s="18"/>
      <c r="G140" s="18"/>
      <c r="H140" s="19"/>
      <c r="I140" s="21"/>
      <c r="J140" s="11"/>
      <c r="K140" s="21"/>
      <c r="L140" s="21"/>
      <c r="M140" s="21"/>
    </row>
    <row r="141" ht="15.75" customHeight="1">
      <c r="A141" s="13"/>
      <c r="B141" s="14"/>
      <c r="C141" s="14"/>
      <c r="D141" s="11"/>
      <c r="E141" s="17"/>
      <c r="F141" s="18"/>
      <c r="G141" s="18"/>
      <c r="H141" s="19"/>
      <c r="I141" s="21"/>
      <c r="J141" s="11"/>
      <c r="K141" s="21"/>
      <c r="L141" s="21"/>
      <c r="M141" s="21"/>
    </row>
    <row r="142" ht="15.75" customHeight="1">
      <c r="A142" s="13"/>
      <c r="B142" s="14"/>
      <c r="C142" s="14"/>
      <c r="D142" s="11"/>
      <c r="E142" s="17"/>
      <c r="F142" s="18"/>
      <c r="G142" s="18"/>
      <c r="H142" s="19"/>
      <c r="I142" s="21"/>
      <c r="J142" s="11"/>
      <c r="K142" s="21"/>
      <c r="L142" s="21"/>
      <c r="M142" s="21"/>
    </row>
    <row r="143" ht="15.75" customHeight="1">
      <c r="A143" s="13"/>
      <c r="B143" s="14"/>
      <c r="C143" s="14"/>
      <c r="D143" s="11"/>
      <c r="E143" s="17"/>
      <c r="F143" s="18"/>
      <c r="G143" s="18"/>
      <c r="H143" s="19"/>
      <c r="I143" s="21"/>
      <c r="J143" s="11"/>
      <c r="K143" s="21"/>
      <c r="L143" s="21"/>
      <c r="M143" s="21"/>
    </row>
    <row r="144" ht="15.75" customHeight="1">
      <c r="A144" s="13"/>
      <c r="B144" s="14"/>
      <c r="C144" s="14"/>
      <c r="D144" s="11"/>
      <c r="E144" s="17"/>
      <c r="F144" s="18"/>
      <c r="G144" s="18"/>
      <c r="H144" s="19"/>
      <c r="I144" s="21"/>
      <c r="J144" s="11"/>
      <c r="K144" s="21"/>
      <c r="L144" s="21"/>
      <c r="M144" s="21"/>
    </row>
    <row r="145" ht="15.75" customHeight="1">
      <c r="A145" s="13"/>
      <c r="B145" s="14"/>
      <c r="C145" s="14"/>
      <c r="D145" s="11"/>
      <c r="E145" s="17"/>
      <c r="F145" s="18"/>
      <c r="G145" s="18"/>
      <c r="H145" s="19"/>
      <c r="I145" s="21"/>
      <c r="J145" s="11"/>
      <c r="K145" s="21"/>
      <c r="L145" s="21"/>
      <c r="M145" s="21"/>
    </row>
    <row r="146" ht="15.75" customHeight="1">
      <c r="A146" s="13"/>
      <c r="B146" s="14"/>
      <c r="C146" s="14"/>
      <c r="D146" s="11"/>
      <c r="E146" s="17"/>
      <c r="F146" s="18"/>
      <c r="G146" s="18"/>
      <c r="H146" s="19"/>
      <c r="I146" s="21"/>
      <c r="J146" s="11"/>
      <c r="K146" s="21"/>
      <c r="L146" s="21"/>
      <c r="M146" s="21"/>
    </row>
    <row r="147" ht="15.75" customHeight="1">
      <c r="A147" s="13"/>
      <c r="B147" s="14"/>
      <c r="C147" s="14"/>
      <c r="D147" s="11"/>
      <c r="E147" s="17"/>
      <c r="F147" s="18"/>
      <c r="G147" s="18"/>
      <c r="H147" s="19"/>
      <c r="I147" s="21"/>
      <c r="J147" s="11"/>
      <c r="K147" s="21"/>
      <c r="L147" s="21"/>
      <c r="M147" s="21"/>
    </row>
    <row r="148" ht="15.75" customHeight="1">
      <c r="A148" s="13"/>
      <c r="B148" s="14"/>
      <c r="C148" s="14"/>
      <c r="D148" s="11"/>
      <c r="E148" s="17"/>
      <c r="F148" s="18"/>
      <c r="G148" s="18"/>
      <c r="H148" s="19"/>
      <c r="I148" s="21"/>
      <c r="J148" s="11"/>
      <c r="K148" s="21"/>
      <c r="L148" s="21"/>
      <c r="M148" s="21"/>
    </row>
    <row r="149" ht="15.75" customHeight="1">
      <c r="A149" s="13"/>
      <c r="B149" s="14"/>
      <c r="C149" s="14"/>
      <c r="D149" s="11"/>
      <c r="E149" s="17"/>
      <c r="F149" s="18"/>
      <c r="G149" s="18"/>
      <c r="H149" s="19"/>
      <c r="I149" s="21"/>
      <c r="J149" s="11"/>
      <c r="K149" s="21"/>
      <c r="L149" s="21"/>
      <c r="M149" s="21"/>
    </row>
    <row r="150" ht="15.75" customHeight="1">
      <c r="A150" s="13"/>
      <c r="B150" s="14"/>
      <c r="C150" s="14"/>
      <c r="D150" s="11"/>
      <c r="E150" s="17"/>
      <c r="F150" s="18"/>
      <c r="G150" s="18"/>
      <c r="H150" s="19"/>
      <c r="I150" s="21"/>
      <c r="J150" s="11"/>
      <c r="K150" s="21"/>
      <c r="L150" s="21"/>
      <c r="M150" s="21"/>
    </row>
    <row r="151" ht="15.75" customHeight="1">
      <c r="A151" s="13"/>
      <c r="B151" s="14"/>
      <c r="C151" s="14"/>
      <c r="D151" s="11"/>
      <c r="E151" s="17"/>
      <c r="F151" s="18"/>
      <c r="G151" s="18"/>
      <c r="H151" s="19"/>
      <c r="I151" s="21"/>
      <c r="J151" s="11"/>
      <c r="K151" s="21"/>
      <c r="L151" s="21"/>
      <c r="M151" s="21"/>
    </row>
    <row r="152" ht="15.75" customHeight="1">
      <c r="A152" s="13"/>
      <c r="B152" s="14"/>
      <c r="C152" s="14"/>
      <c r="D152" s="11"/>
      <c r="E152" s="17"/>
      <c r="F152" s="18"/>
      <c r="G152" s="18"/>
      <c r="H152" s="19"/>
      <c r="I152" s="21"/>
      <c r="J152" s="11"/>
      <c r="K152" s="21"/>
      <c r="L152" s="21"/>
      <c r="M152" s="21"/>
    </row>
    <row r="153" ht="15.75" customHeight="1">
      <c r="A153" s="13"/>
      <c r="B153" s="14"/>
      <c r="C153" s="14"/>
      <c r="D153" s="11"/>
      <c r="E153" s="17"/>
      <c r="F153" s="18"/>
      <c r="G153" s="18"/>
      <c r="H153" s="19"/>
      <c r="I153" s="21"/>
      <c r="J153" s="11"/>
      <c r="K153" s="21"/>
      <c r="L153" s="21"/>
      <c r="M153" s="21"/>
    </row>
    <row r="154" ht="15.75" customHeight="1">
      <c r="A154" s="13"/>
      <c r="B154" s="14"/>
      <c r="C154" s="14"/>
      <c r="D154" s="11"/>
      <c r="E154" s="17"/>
      <c r="F154" s="18"/>
      <c r="G154" s="18"/>
      <c r="H154" s="19"/>
      <c r="I154" s="21"/>
      <c r="J154" s="11"/>
      <c r="K154" s="21"/>
      <c r="L154" s="21"/>
      <c r="M154" s="21"/>
    </row>
    <row r="155" ht="15.75" customHeight="1">
      <c r="A155" s="13"/>
      <c r="B155" s="14"/>
      <c r="C155" s="14"/>
      <c r="D155" s="11"/>
      <c r="E155" s="17"/>
      <c r="F155" s="18"/>
      <c r="G155" s="18"/>
      <c r="H155" s="19"/>
      <c r="I155" s="21"/>
      <c r="J155" s="11"/>
      <c r="K155" s="21"/>
      <c r="L155" s="21"/>
      <c r="M155" s="21"/>
    </row>
    <row r="156" ht="15.75" customHeight="1">
      <c r="A156" s="13"/>
      <c r="B156" s="14"/>
      <c r="C156" s="14"/>
      <c r="D156" s="11"/>
      <c r="E156" s="17"/>
      <c r="F156" s="18"/>
      <c r="G156" s="18"/>
      <c r="H156" s="19"/>
      <c r="I156" s="21"/>
      <c r="J156" s="11"/>
      <c r="K156" s="21"/>
      <c r="L156" s="21"/>
      <c r="M156" s="21"/>
    </row>
    <row r="157" ht="15.75" customHeight="1">
      <c r="A157" s="13"/>
      <c r="B157" s="14"/>
      <c r="C157" s="14"/>
      <c r="D157" s="11"/>
      <c r="E157" s="17"/>
      <c r="F157" s="18"/>
      <c r="G157" s="18"/>
      <c r="H157" s="19"/>
      <c r="I157" s="21"/>
      <c r="J157" s="11"/>
      <c r="K157" s="21"/>
      <c r="L157" s="21"/>
      <c r="M157" s="21"/>
    </row>
    <row r="158" ht="15.75" customHeight="1">
      <c r="A158" s="13"/>
      <c r="B158" s="14"/>
      <c r="C158" s="14"/>
      <c r="D158" s="11"/>
      <c r="E158" s="17"/>
      <c r="F158" s="18"/>
      <c r="G158" s="18"/>
      <c r="H158" s="19"/>
      <c r="I158" s="21"/>
      <c r="J158" s="11"/>
      <c r="K158" s="21"/>
      <c r="L158" s="21"/>
      <c r="M158" s="21"/>
    </row>
    <row r="159" ht="15.75" customHeight="1">
      <c r="A159" s="13"/>
      <c r="B159" s="14"/>
      <c r="C159" s="14"/>
      <c r="D159" s="11"/>
      <c r="E159" s="17"/>
      <c r="F159" s="18"/>
      <c r="G159" s="18"/>
      <c r="H159" s="19"/>
      <c r="I159" s="21"/>
      <c r="J159" s="11"/>
      <c r="K159" s="21"/>
      <c r="L159" s="21"/>
      <c r="M159" s="21"/>
    </row>
    <row r="160" ht="15.75" customHeight="1">
      <c r="A160" s="13"/>
      <c r="B160" s="14"/>
      <c r="C160" s="14"/>
      <c r="D160" s="11"/>
      <c r="E160" s="17"/>
      <c r="F160" s="18"/>
      <c r="G160" s="18"/>
      <c r="H160" s="19"/>
      <c r="I160" s="21"/>
      <c r="J160" s="11"/>
      <c r="K160" s="21"/>
      <c r="L160" s="21"/>
      <c r="M160" s="21"/>
    </row>
    <row r="161" ht="15.75" customHeight="1">
      <c r="A161" s="13"/>
      <c r="B161" s="14"/>
      <c r="C161" s="14"/>
      <c r="D161" s="11"/>
      <c r="E161" s="17"/>
      <c r="F161" s="18"/>
      <c r="G161" s="18"/>
      <c r="H161" s="19"/>
      <c r="I161" s="21"/>
      <c r="J161" s="11"/>
      <c r="K161" s="21"/>
      <c r="L161" s="21"/>
      <c r="M161" s="21"/>
    </row>
    <row r="162" ht="15.75" customHeight="1">
      <c r="A162" s="13"/>
      <c r="B162" s="14"/>
      <c r="C162" s="14"/>
      <c r="D162" s="11"/>
      <c r="E162" s="17"/>
      <c r="F162" s="18"/>
      <c r="G162" s="18"/>
      <c r="H162" s="19"/>
      <c r="I162" s="21"/>
      <c r="J162" s="11"/>
      <c r="K162" s="21"/>
      <c r="L162" s="21"/>
      <c r="M162" s="21"/>
    </row>
    <row r="163" ht="15.75" customHeight="1">
      <c r="A163" s="13"/>
      <c r="B163" s="14"/>
      <c r="C163" s="14"/>
      <c r="D163" s="11"/>
      <c r="E163" s="17"/>
      <c r="F163" s="18"/>
      <c r="G163" s="18"/>
      <c r="H163" s="19"/>
      <c r="I163" s="21"/>
      <c r="J163" s="11"/>
      <c r="K163" s="21"/>
      <c r="L163" s="21"/>
      <c r="M163" s="21"/>
    </row>
    <row r="164" ht="15.75" customHeight="1">
      <c r="A164" s="13"/>
      <c r="B164" s="14"/>
      <c r="C164" s="14"/>
      <c r="D164" s="11"/>
      <c r="E164" s="17"/>
      <c r="F164" s="18"/>
      <c r="G164" s="18"/>
      <c r="H164" s="19"/>
      <c r="I164" s="21"/>
      <c r="J164" s="11"/>
      <c r="K164" s="21"/>
      <c r="L164" s="21"/>
      <c r="M164" s="21"/>
    </row>
    <row r="165" ht="15.75" customHeight="1">
      <c r="A165" s="13"/>
      <c r="B165" s="14"/>
      <c r="C165" s="14"/>
      <c r="D165" s="11"/>
      <c r="E165" s="17"/>
      <c r="F165" s="18"/>
      <c r="G165" s="18"/>
      <c r="H165" s="19"/>
      <c r="I165" s="21"/>
      <c r="J165" s="11"/>
      <c r="K165" s="21"/>
      <c r="L165" s="21"/>
      <c r="M165" s="21"/>
    </row>
    <row r="166" ht="15.75" customHeight="1">
      <c r="A166" s="13"/>
      <c r="B166" s="14"/>
      <c r="C166" s="14"/>
      <c r="D166" s="11"/>
      <c r="E166" s="17"/>
      <c r="F166" s="18"/>
      <c r="G166" s="18"/>
      <c r="H166" s="19"/>
      <c r="I166" s="21"/>
      <c r="J166" s="11"/>
      <c r="K166" s="21"/>
      <c r="L166" s="21"/>
      <c r="M166" s="21"/>
    </row>
    <row r="167" ht="15.75" customHeight="1">
      <c r="A167" s="13"/>
      <c r="B167" s="14"/>
      <c r="C167" s="14"/>
      <c r="D167" s="11"/>
      <c r="E167" s="17"/>
      <c r="F167" s="18"/>
      <c r="G167" s="18"/>
      <c r="H167" s="19"/>
      <c r="I167" s="21"/>
      <c r="J167" s="11"/>
      <c r="K167" s="21"/>
      <c r="L167" s="21"/>
      <c r="M167" s="21"/>
    </row>
    <row r="168" ht="15.75" customHeight="1">
      <c r="A168" s="13"/>
      <c r="B168" s="14"/>
      <c r="C168" s="14"/>
      <c r="D168" s="11"/>
      <c r="E168" s="17"/>
      <c r="F168" s="18"/>
      <c r="G168" s="18"/>
      <c r="H168" s="19"/>
      <c r="I168" s="21"/>
      <c r="J168" s="11"/>
      <c r="K168" s="21"/>
      <c r="L168" s="21"/>
      <c r="M168" s="21"/>
    </row>
    <row r="169" ht="15.75" customHeight="1">
      <c r="A169" s="13"/>
      <c r="B169" s="14"/>
      <c r="C169" s="14"/>
      <c r="D169" s="11"/>
      <c r="E169" s="17"/>
      <c r="F169" s="18"/>
      <c r="G169" s="18"/>
      <c r="H169" s="19"/>
      <c r="I169" s="21"/>
      <c r="J169" s="11"/>
      <c r="K169" s="21"/>
      <c r="L169" s="21"/>
      <c r="M169" s="21"/>
    </row>
    <row r="170" ht="15.75" customHeight="1">
      <c r="A170" s="13"/>
      <c r="B170" s="14"/>
      <c r="C170" s="14"/>
      <c r="D170" s="11"/>
      <c r="E170" s="17"/>
      <c r="F170" s="18"/>
      <c r="G170" s="18"/>
      <c r="H170" s="19"/>
      <c r="I170" s="21"/>
      <c r="J170" s="11"/>
      <c r="K170" s="21"/>
      <c r="L170" s="21"/>
      <c r="M170" s="21"/>
    </row>
    <row r="171" ht="15.75" customHeight="1">
      <c r="A171" s="13"/>
      <c r="B171" s="14"/>
      <c r="C171" s="14"/>
      <c r="D171" s="11"/>
      <c r="E171" s="17"/>
      <c r="F171" s="18"/>
      <c r="G171" s="18"/>
      <c r="H171" s="19"/>
      <c r="I171" s="21"/>
      <c r="J171" s="11"/>
      <c r="K171" s="21"/>
      <c r="L171" s="21"/>
      <c r="M171" s="21"/>
    </row>
    <row r="172" ht="15.75" customHeight="1">
      <c r="A172" s="13"/>
      <c r="B172" s="14"/>
      <c r="C172" s="14"/>
      <c r="D172" s="11"/>
      <c r="E172" s="17"/>
      <c r="F172" s="18"/>
      <c r="G172" s="18"/>
      <c r="H172" s="19"/>
      <c r="I172" s="21"/>
      <c r="J172" s="11"/>
      <c r="K172" s="21"/>
      <c r="L172" s="21"/>
      <c r="M172" s="21"/>
    </row>
    <row r="173" ht="15.75" customHeight="1">
      <c r="A173" s="13"/>
      <c r="B173" s="14"/>
      <c r="C173" s="14"/>
      <c r="D173" s="11"/>
      <c r="E173" s="17"/>
      <c r="F173" s="18"/>
      <c r="G173" s="18"/>
      <c r="H173" s="19"/>
      <c r="I173" s="21"/>
      <c r="J173" s="11"/>
      <c r="K173" s="21"/>
      <c r="L173" s="21"/>
      <c r="M173" s="21"/>
    </row>
    <row r="174" ht="15.75" customHeight="1">
      <c r="A174" s="13"/>
      <c r="B174" s="14"/>
      <c r="C174" s="14"/>
      <c r="D174" s="11"/>
      <c r="E174" s="17"/>
      <c r="F174" s="18"/>
      <c r="G174" s="18"/>
      <c r="H174" s="19"/>
      <c r="I174" s="21"/>
      <c r="J174" s="11"/>
      <c r="K174" s="21"/>
      <c r="L174" s="21"/>
      <c r="M174" s="21"/>
    </row>
    <row r="175" ht="15.75" customHeight="1">
      <c r="A175" s="13"/>
      <c r="B175" s="14"/>
      <c r="C175" s="14"/>
      <c r="D175" s="11"/>
      <c r="E175" s="17"/>
      <c r="F175" s="18"/>
      <c r="G175" s="18"/>
      <c r="H175" s="19"/>
      <c r="I175" s="21"/>
      <c r="J175" s="11"/>
      <c r="K175" s="21"/>
      <c r="L175" s="21"/>
      <c r="M175" s="21"/>
    </row>
    <row r="176" ht="15.75" customHeight="1">
      <c r="A176" s="13"/>
      <c r="B176" s="14"/>
      <c r="C176" s="14"/>
      <c r="D176" s="11"/>
      <c r="E176" s="17"/>
      <c r="F176" s="18"/>
      <c r="G176" s="18"/>
      <c r="H176" s="19"/>
      <c r="I176" s="21"/>
      <c r="J176" s="11"/>
      <c r="K176" s="21"/>
      <c r="L176" s="21"/>
      <c r="M176" s="21"/>
    </row>
    <row r="177" ht="15.75" customHeight="1">
      <c r="A177" s="13"/>
      <c r="B177" s="14"/>
      <c r="C177" s="14"/>
      <c r="D177" s="11"/>
      <c r="E177" s="17"/>
      <c r="F177" s="18"/>
      <c r="G177" s="18"/>
      <c r="H177" s="19"/>
      <c r="I177" s="21"/>
      <c r="J177" s="11"/>
      <c r="K177" s="21"/>
      <c r="L177" s="21"/>
      <c r="M177" s="21"/>
    </row>
    <row r="178" ht="15.75" customHeight="1">
      <c r="A178" s="13"/>
      <c r="B178" s="14"/>
      <c r="C178" s="14"/>
      <c r="D178" s="11"/>
      <c r="E178" s="17"/>
      <c r="F178" s="18"/>
      <c r="G178" s="18"/>
      <c r="H178" s="19"/>
      <c r="I178" s="21"/>
      <c r="J178" s="11"/>
      <c r="K178" s="21"/>
      <c r="L178" s="21"/>
      <c r="M178" s="21"/>
    </row>
    <row r="179" ht="15.75" customHeight="1">
      <c r="A179" s="13"/>
      <c r="B179" s="14"/>
      <c r="C179" s="14"/>
      <c r="D179" s="11"/>
      <c r="E179" s="17"/>
      <c r="F179" s="18"/>
      <c r="G179" s="18"/>
      <c r="H179" s="19"/>
      <c r="I179" s="21"/>
      <c r="J179" s="11"/>
      <c r="K179" s="21"/>
      <c r="L179" s="21"/>
      <c r="M179" s="21"/>
    </row>
    <row r="180" ht="15.75" customHeight="1">
      <c r="A180" s="13"/>
      <c r="B180" s="14"/>
      <c r="C180" s="14"/>
      <c r="D180" s="11"/>
      <c r="E180" s="17"/>
      <c r="F180" s="18"/>
      <c r="G180" s="18"/>
      <c r="H180" s="19"/>
      <c r="I180" s="21"/>
      <c r="J180" s="11"/>
      <c r="K180" s="21"/>
      <c r="L180" s="21"/>
      <c r="M180" s="21"/>
    </row>
    <row r="181" ht="15.75" customHeight="1">
      <c r="A181" s="13"/>
      <c r="B181" s="14"/>
      <c r="C181" s="14"/>
      <c r="D181" s="11"/>
      <c r="E181" s="17"/>
      <c r="F181" s="18"/>
      <c r="G181" s="18"/>
      <c r="H181" s="19"/>
      <c r="I181" s="21"/>
      <c r="J181" s="11"/>
      <c r="K181" s="21"/>
      <c r="L181" s="21"/>
      <c r="M181" s="21"/>
    </row>
    <row r="182" ht="15.75" customHeight="1">
      <c r="A182" s="13"/>
      <c r="B182" s="14"/>
      <c r="C182" s="14"/>
      <c r="D182" s="11"/>
      <c r="E182" s="17"/>
      <c r="F182" s="18"/>
      <c r="G182" s="18"/>
      <c r="H182" s="19"/>
      <c r="I182" s="21"/>
      <c r="J182" s="11"/>
      <c r="K182" s="21"/>
      <c r="L182" s="21"/>
      <c r="M182" s="21"/>
    </row>
    <row r="183" ht="15.75" customHeight="1">
      <c r="A183" s="13"/>
      <c r="B183" s="14"/>
      <c r="C183" s="14"/>
      <c r="D183" s="11"/>
      <c r="E183" s="17"/>
      <c r="F183" s="18"/>
      <c r="G183" s="18"/>
      <c r="H183" s="19"/>
      <c r="I183" s="21"/>
      <c r="J183" s="11"/>
      <c r="K183" s="21"/>
      <c r="L183" s="21"/>
      <c r="M183" s="21"/>
    </row>
    <row r="184" ht="15.75" customHeight="1">
      <c r="A184" s="13"/>
      <c r="B184" s="14"/>
      <c r="C184" s="14"/>
      <c r="D184" s="11"/>
      <c r="E184" s="17"/>
      <c r="F184" s="18"/>
      <c r="G184" s="18"/>
      <c r="H184" s="19"/>
      <c r="I184" s="21"/>
      <c r="J184" s="11"/>
      <c r="K184" s="21"/>
      <c r="L184" s="21"/>
      <c r="M184" s="21"/>
    </row>
    <row r="185" ht="15.75" customHeight="1">
      <c r="A185" s="13"/>
      <c r="B185" s="14"/>
      <c r="C185" s="14"/>
      <c r="D185" s="11"/>
      <c r="E185" s="17"/>
      <c r="F185" s="18"/>
      <c r="G185" s="18"/>
      <c r="H185" s="19"/>
      <c r="I185" s="21"/>
      <c r="J185" s="11"/>
      <c r="K185" s="21"/>
      <c r="L185" s="21"/>
      <c r="M185" s="21"/>
    </row>
    <row r="186" ht="15.75" customHeight="1">
      <c r="A186" s="13"/>
      <c r="B186" s="14"/>
      <c r="C186" s="14"/>
      <c r="D186" s="11"/>
      <c r="E186" s="17"/>
      <c r="F186" s="18"/>
      <c r="G186" s="18"/>
      <c r="H186" s="19"/>
      <c r="I186" s="21"/>
      <c r="J186" s="11"/>
      <c r="K186" s="21"/>
      <c r="L186" s="21"/>
      <c r="M186" s="21"/>
    </row>
    <row r="187" ht="15.75" customHeight="1">
      <c r="A187" s="13"/>
      <c r="B187" s="14"/>
      <c r="C187" s="14"/>
      <c r="D187" s="11"/>
      <c r="E187" s="17"/>
      <c r="F187" s="18"/>
      <c r="G187" s="18"/>
      <c r="H187" s="19"/>
      <c r="I187" s="21"/>
      <c r="J187" s="11"/>
      <c r="K187" s="21"/>
      <c r="L187" s="21"/>
      <c r="M187" s="21"/>
    </row>
    <row r="188" ht="15.75" customHeight="1">
      <c r="A188" s="13"/>
      <c r="B188" s="14"/>
      <c r="C188" s="14"/>
      <c r="D188" s="11"/>
      <c r="E188" s="17"/>
      <c r="F188" s="18"/>
      <c r="G188" s="18"/>
      <c r="H188" s="19"/>
      <c r="I188" s="21"/>
      <c r="J188" s="11"/>
      <c r="K188" s="21"/>
      <c r="L188" s="21"/>
      <c r="M188" s="21"/>
    </row>
    <row r="189" ht="15.75" customHeight="1">
      <c r="A189" s="13"/>
      <c r="B189" s="14"/>
      <c r="C189" s="14"/>
      <c r="D189" s="11"/>
      <c r="E189" s="17"/>
      <c r="F189" s="18"/>
      <c r="G189" s="18"/>
      <c r="H189" s="19"/>
      <c r="I189" s="21"/>
      <c r="J189" s="11"/>
      <c r="K189" s="21"/>
      <c r="L189" s="21"/>
      <c r="M189" s="21"/>
    </row>
    <row r="190" ht="15.75" customHeight="1">
      <c r="A190" s="13"/>
      <c r="B190" s="14"/>
      <c r="C190" s="14"/>
      <c r="D190" s="11"/>
      <c r="E190" s="17"/>
      <c r="F190" s="18"/>
      <c r="G190" s="18"/>
      <c r="H190" s="19"/>
      <c r="I190" s="21"/>
      <c r="J190" s="11"/>
      <c r="K190" s="21"/>
      <c r="L190" s="21"/>
      <c r="M190" s="21"/>
    </row>
    <row r="191" ht="15.75" customHeight="1">
      <c r="A191" s="13"/>
      <c r="B191" s="14"/>
      <c r="C191" s="14"/>
      <c r="D191" s="11"/>
      <c r="E191" s="17"/>
      <c r="F191" s="18"/>
      <c r="G191" s="18"/>
      <c r="H191" s="19"/>
      <c r="I191" s="21"/>
      <c r="J191" s="11"/>
      <c r="K191" s="21"/>
      <c r="L191" s="21"/>
      <c r="M191" s="21"/>
    </row>
    <row r="192" ht="15.75" customHeight="1">
      <c r="A192" s="13"/>
      <c r="B192" s="14"/>
      <c r="C192" s="14"/>
      <c r="D192" s="11"/>
      <c r="E192" s="17"/>
      <c r="F192" s="18"/>
      <c r="G192" s="18"/>
      <c r="H192" s="19"/>
      <c r="I192" s="21"/>
      <c r="J192" s="11"/>
      <c r="K192" s="21"/>
      <c r="L192" s="21"/>
      <c r="M192" s="21"/>
    </row>
    <row r="193" ht="15.75" customHeight="1">
      <c r="A193" s="13"/>
      <c r="B193" s="14"/>
      <c r="C193" s="14"/>
      <c r="D193" s="11"/>
      <c r="E193" s="17"/>
      <c r="F193" s="18"/>
      <c r="G193" s="18"/>
      <c r="H193" s="19"/>
      <c r="I193" s="21"/>
      <c r="J193" s="11"/>
      <c r="K193" s="21"/>
      <c r="L193" s="21"/>
      <c r="M193" s="21"/>
    </row>
    <row r="194" ht="15.75" customHeight="1">
      <c r="A194" s="13"/>
      <c r="B194" s="14"/>
      <c r="C194" s="14"/>
      <c r="D194" s="11"/>
      <c r="E194" s="17"/>
      <c r="F194" s="18"/>
      <c r="G194" s="18"/>
      <c r="H194" s="19"/>
      <c r="I194" s="21"/>
      <c r="J194" s="11"/>
      <c r="K194" s="21"/>
      <c r="L194" s="21"/>
      <c r="M194" s="21"/>
    </row>
    <row r="195" ht="15.75" customHeight="1">
      <c r="A195" s="13"/>
      <c r="B195" s="14"/>
      <c r="C195" s="14"/>
      <c r="D195" s="11"/>
      <c r="E195" s="17"/>
      <c r="F195" s="18"/>
      <c r="G195" s="18"/>
      <c r="H195" s="19"/>
      <c r="I195" s="21"/>
      <c r="J195" s="11"/>
      <c r="K195" s="21"/>
      <c r="L195" s="21"/>
      <c r="M195" s="21"/>
    </row>
    <row r="196" ht="15.75" customHeight="1">
      <c r="A196" s="13"/>
      <c r="B196" s="14"/>
      <c r="C196" s="14"/>
      <c r="D196" s="11"/>
      <c r="E196" s="17"/>
      <c r="F196" s="18"/>
      <c r="G196" s="18"/>
      <c r="H196" s="19"/>
      <c r="I196" s="21"/>
      <c r="J196" s="11"/>
      <c r="K196" s="21"/>
      <c r="L196" s="21"/>
      <c r="M196" s="21"/>
    </row>
    <row r="197" ht="15.75" customHeight="1">
      <c r="A197" s="13"/>
      <c r="B197" s="14"/>
      <c r="C197" s="14"/>
      <c r="D197" s="11"/>
      <c r="E197" s="17"/>
      <c r="F197" s="18"/>
      <c r="G197" s="18"/>
      <c r="H197" s="19"/>
      <c r="I197" s="21"/>
      <c r="J197" s="11"/>
      <c r="K197" s="21"/>
      <c r="L197" s="21"/>
      <c r="M197" s="21"/>
    </row>
    <row r="198" ht="15.75" customHeight="1">
      <c r="A198" s="13"/>
      <c r="B198" s="14"/>
      <c r="C198" s="14"/>
      <c r="D198" s="11"/>
      <c r="E198" s="17"/>
      <c r="F198" s="18"/>
      <c r="G198" s="18"/>
      <c r="H198" s="19"/>
      <c r="I198" s="21"/>
      <c r="J198" s="11"/>
      <c r="K198" s="21"/>
      <c r="L198" s="21"/>
      <c r="M198" s="21"/>
    </row>
    <row r="199" ht="15.75" customHeight="1">
      <c r="A199" s="13"/>
      <c r="B199" s="14"/>
      <c r="C199" s="14"/>
      <c r="D199" s="11"/>
      <c r="E199" s="17"/>
      <c r="F199" s="18"/>
      <c r="G199" s="18"/>
      <c r="H199" s="19"/>
      <c r="I199" s="21"/>
      <c r="J199" s="11"/>
      <c r="K199" s="21"/>
      <c r="L199" s="21"/>
      <c r="M199" s="21"/>
    </row>
    <row r="200" ht="15.75" customHeight="1">
      <c r="A200" s="13"/>
      <c r="B200" s="14"/>
      <c r="C200" s="14"/>
      <c r="D200" s="11"/>
      <c r="E200" s="17"/>
      <c r="F200" s="18"/>
      <c r="G200" s="18"/>
      <c r="H200" s="19"/>
      <c r="I200" s="21"/>
      <c r="J200" s="11"/>
      <c r="K200" s="21"/>
      <c r="L200" s="21"/>
      <c r="M200" s="21"/>
    </row>
    <row r="201" ht="15.75" customHeight="1">
      <c r="A201" s="13"/>
      <c r="B201" s="14"/>
      <c r="C201" s="14"/>
      <c r="D201" s="11"/>
      <c r="E201" s="17"/>
      <c r="F201" s="18"/>
      <c r="G201" s="18"/>
      <c r="H201" s="19"/>
      <c r="I201" s="21"/>
      <c r="J201" s="11"/>
      <c r="K201" s="21"/>
      <c r="L201" s="21"/>
      <c r="M201" s="21"/>
    </row>
    <row r="202" ht="15.75" customHeight="1">
      <c r="A202" s="13"/>
      <c r="B202" s="14"/>
      <c r="C202" s="14"/>
      <c r="D202" s="11"/>
      <c r="E202" s="17"/>
      <c r="F202" s="18"/>
      <c r="G202" s="18"/>
      <c r="H202" s="19"/>
      <c r="I202" s="21"/>
      <c r="J202" s="11"/>
      <c r="K202" s="21"/>
      <c r="L202" s="21"/>
      <c r="M202" s="21"/>
    </row>
    <row r="203" ht="15.75" customHeight="1">
      <c r="A203" s="13"/>
      <c r="B203" s="14"/>
      <c r="C203" s="14"/>
      <c r="D203" s="11"/>
      <c r="E203" s="17"/>
      <c r="F203" s="18"/>
      <c r="G203" s="18"/>
      <c r="H203" s="19"/>
      <c r="I203" s="21"/>
      <c r="J203" s="11"/>
      <c r="K203" s="21"/>
      <c r="L203" s="21"/>
      <c r="M203" s="21"/>
    </row>
    <row r="204" ht="15.75" customHeight="1">
      <c r="A204" s="13"/>
      <c r="B204" s="14"/>
      <c r="C204" s="14"/>
      <c r="D204" s="11"/>
      <c r="E204" s="17"/>
      <c r="F204" s="18"/>
      <c r="G204" s="18"/>
      <c r="H204" s="19"/>
      <c r="I204" s="21"/>
      <c r="J204" s="11"/>
      <c r="K204" s="21"/>
      <c r="L204" s="21"/>
      <c r="M204" s="21"/>
    </row>
    <row r="205" ht="15.75" customHeight="1">
      <c r="A205" s="13"/>
      <c r="B205" s="14"/>
      <c r="C205" s="14"/>
      <c r="D205" s="11"/>
      <c r="E205" s="17"/>
      <c r="F205" s="18"/>
      <c r="G205" s="18"/>
      <c r="H205" s="19"/>
      <c r="I205" s="21"/>
      <c r="J205" s="11"/>
      <c r="K205" s="21"/>
      <c r="L205" s="21"/>
      <c r="M205" s="21"/>
    </row>
    <row r="206" ht="15.75" customHeight="1">
      <c r="A206" s="13"/>
      <c r="B206" s="14"/>
      <c r="C206" s="14"/>
      <c r="D206" s="11"/>
      <c r="E206" s="17"/>
      <c r="F206" s="18"/>
      <c r="G206" s="18"/>
      <c r="H206" s="19"/>
      <c r="I206" s="21"/>
      <c r="J206" s="11"/>
      <c r="K206" s="21"/>
      <c r="L206" s="21"/>
      <c r="M206" s="21"/>
    </row>
    <row r="207" ht="15.75" customHeight="1">
      <c r="A207" s="13"/>
      <c r="B207" s="14"/>
      <c r="C207" s="14"/>
      <c r="D207" s="11"/>
      <c r="E207" s="17"/>
      <c r="F207" s="18"/>
      <c r="G207" s="18"/>
      <c r="H207" s="19"/>
      <c r="I207" s="21"/>
      <c r="J207" s="11"/>
      <c r="K207" s="21"/>
      <c r="L207" s="21"/>
      <c r="M207" s="21"/>
    </row>
    <row r="208" ht="15.75" customHeight="1">
      <c r="A208" s="13"/>
      <c r="B208" s="14"/>
      <c r="C208" s="14"/>
      <c r="D208" s="11"/>
      <c r="E208" s="17"/>
      <c r="F208" s="18"/>
      <c r="G208" s="18"/>
      <c r="H208" s="19"/>
      <c r="I208" s="21"/>
      <c r="J208" s="11"/>
      <c r="K208" s="21"/>
      <c r="L208" s="21"/>
      <c r="M208" s="21"/>
    </row>
    <row r="209" ht="15.75" customHeight="1">
      <c r="A209" s="13"/>
      <c r="B209" s="14"/>
      <c r="C209" s="14"/>
      <c r="D209" s="11"/>
      <c r="E209" s="17"/>
      <c r="F209" s="18"/>
      <c r="G209" s="18"/>
      <c r="H209" s="19"/>
      <c r="I209" s="21"/>
      <c r="J209" s="11"/>
      <c r="K209" s="21"/>
      <c r="L209" s="21"/>
      <c r="M209" s="21"/>
    </row>
    <row r="210" ht="15.75" customHeight="1">
      <c r="A210" s="13"/>
      <c r="B210" s="14"/>
      <c r="C210" s="14"/>
      <c r="D210" s="11"/>
      <c r="E210" s="17"/>
      <c r="F210" s="18"/>
      <c r="G210" s="18"/>
      <c r="H210" s="19"/>
      <c r="I210" s="21"/>
      <c r="J210" s="11"/>
      <c r="K210" s="21"/>
      <c r="L210" s="21"/>
      <c r="M210" s="21"/>
    </row>
    <row r="211" ht="15.75" customHeight="1">
      <c r="A211" s="13"/>
      <c r="B211" s="14"/>
      <c r="C211" s="14"/>
      <c r="D211" s="11"/>
      <c r="E211" s="17"/>
      <c r="F211" s="18"/>
      <c r="G211" s="18"/>
      <c r="H211" s="19"/>
      <c r="I211" s="21"/>
      <c r="J211" s="11"/>
      <c r="K211" s="21"/>
      <c r="L211" s="21"/>
      <c r="M211" s="21"/>
    </row>
    <row r="212" ht="15.75" customHeight="1">
      <c r="A212" s="13"/>
      <c r="B212" s="14"/>
      <c r="C212" s="14"/>
      <c r="D212" s="11"/>
      <c r="E212" s="17"/>
      <c r="F212" s="18"/>
      <c r="G212" s="18"/>
      <c r="H212" s="19"/>
      <c r="I212" s="21"/>
      <c r="J212" s="11"/>
      <c r="K212" s="21"/>
      <c r="L212" s="21"/>
      <c r="M212" s="21"/>
    </row>
    <row r="213" ht="15.75" customHeight="1">
      <c r="A213" s="13"/>
      <c r="B213" s="14"/>
      <c r="C213" s="14"/>
      <c r="D213" s="11"/>
      <c r="E213" s="17"/>
      <c r="F213" s="18"/>
      <c r="G213" s="18"/>
      <c r="H213" s="19"/>
      <c r="I213" s="21"/>
      <c r="J213" s="11"/>
      <c r="K213" s="21"/>
      <c r="L213" s="21"/>
      <c r="M213" s="21"/>
    </row>
    <row r="214" ht="15.75" customHeight="1">
      <c r="A214" s="13"/>
      <c r="B214" s="14"/>
      <c r="C214" s="14"/>
      <c r="D214" s="11"/>
      <c r="E214" s="17"/>
      <c r="F214" s="18"/>
      <c r="G214" s="18"/>
      <c r="H214" s="19"/>
      <c r="I214" s="21"/>
      <c r="J214" s="11"/>
      <c r="K214" s="21"/>
      <c r="L214" s="21"/>
      <c r="M214" s="21"/>
    </row>
    <row r="215" ht="15.75" customHeight="1">
      <c r="A215" s="13"/>
      <c r="B215" s="14"/>
      <c r="C215" s="14"/>
      <c r="D215" s="11"/>
      <c r="E215" s="17"/>
      <c r="F215" s="18"/>
      <c r="G215" s="18"/>
      <c r="H215" s="19"/>
      <c r="I215" s="21"/>
      <c r="J215" s="11"/>
      <c r="K215" s="21"/>
      <c r="L215" s="21"/>
      <c r="M215" s="21"/>
    </row>
    <row r="216" ht="15.75" customHeight="1">
      <c r="A216" s="13"/>
      <c r="B216" s="14"/>
      <c r="C216" s="14"/>
      <c r="D216" s="11"/>
      <c r="E216" s="17"/>
      <c r="F216" s="18"/>
      <c r="G216" s="18"/>
      <c r="H216" s="19"/>
      <c r="I216" s="21"/>
      <c r="J216" s="11"/>
      <c r="K216" s="21"/>
      <c r="L216" s="21"/>
      <c r="M216" s="21"/>
    </row>
    <row r="217" ht="15.75" customHeight="1">
      <c r="A217" s="13"/>
      <c r="B217" s="14"/>
      <c r="C217" s="14"/>
      <c r="D217" s="11"/>
      <c r="E217" s="17"/>
      <c r="F217" s="18"/>
      <c r="G217" s="18"/>
      <c r="H217" s="19"/>
      <c r="I217" s="21"/>
      <c r="J217" s="11"/>
      <c r="K217" s="21"/>
      <c r="L217" s="21"/>
      <c r="M217" s="21"/>
    </row>
    <row r="218" ht="15.75" customHeight="1">
      <c r="A218" s="13"/>
      <c r="B218" s="14"/>
      <c r="C218" s="14"/>
      <c r="D218" s="11"/>
      <c r="E218" s="17"/>
      <c r="F218" s="18"/>
      <c r="G218" s="18"/>
      <c r="H218" s="19"/>
      <c r="I218" s="21"/>
      <c r="J218" s="11"/>
      <c r="K218" s="21"/>
      <c r="L218" s="21"/>
      <c r="M218" s="21"/>
    </row>
    <row r="219" ht="15.75" customHeight="1">
      <c r="A219" s="13"/>
      <c r="B219" s="14"/>
      <c r="C219" s="14"/>
      <c r="D219" s="11"/>
      <c r="E219" s="17"/>
      <c r="F219" s="18"/>
      <c r="G219" s="18"/>
      <c r="H219" s="19"/>
      <c r="I219" s="21"/>
      <c r="J219" s="11"/>
      <c r="K219" s="21"/>
      <c r="L219" s="21"/>
      <c r="M219" s="21"/>
    </row>
    <row r="220" ht="15.75" customHeight="1">
      <c r="A220" s="13"/>
      <c r="B220" s="14"/>
      <c r="C220" s="14"/>
      <c r="D220" s="11"/>
      <c r="E220" s="17"/>
      <c r="F220" s="18"/>
      <c r="G220" s="18"/>
      <c r="H220" s="19"/>
      <c r="I220" s="21"/>
      <c r="J220" s="11"/>
      <c r="K220" s="21"/>
      <c r="L220" s="21"/>
      <c r="M220" s="21"/>
    </row>
    <row r="221" ht="15.75" customHeight="1">
      <c r="A221" s="13"/>
      <c r="B221" s="14"/>
      <c r="C221" s="14"/>
      <c r="D221" s="11"/>
      <c r="E221" s="17"/>
      <c r="F221" s="18"/>
      <c r="G221" s="18"/>
      <c r="H221" s="19"/>
      <c r="I221" s="21"/>
      <c r="J221" s="11"/>
      <c r="K221" s="21"/>
      <c r="L221" s="21"/>
      <c r="M221" s="21"/>
    </row>
    <row r="222" ht="15.75" customHeight="1">
      <c r="A222" s="13"/>
      <c r="B222" s="14"/>
      <c r="C222" s="14"/>
      <c r="D222" s="11"/>
      <c r="E222" s="17"/>
      <c r="F222" s="18"/>
      <c r="G222" s="18"/>
      <c r="H222" s="19"/>
      <c r="I222" s="21"/>
      <c r="J222" s="11"/>
      <c r="K222" s="21"/>
      <c r="L222" s="21"/>
      <c r="M222" s="21"/>
    </row>
    <row r="223" ht="15.75" customHeight="1">
      <c r="A223" s="13"/>
      <c r="B223" s="14"/>
      <c r="C223" s="14"/>
      <c r="D223" s="11"/>
      <c r="E223" s="17"/>
      <c r="F223" s="18"/>
      <c r="G223" s="18"/>
      <c r="H223" s="19"/>
      <c r="I223" s="21"/>
      <c r="J223" s="11"/>
      <c r="K223" s="21"/>
      <c r="L223" s="21"/>
      <c r="M223" s="21"/>
    </row>
    <row r="224" ht="15.75" customHeight="1">
      <c r="A224" s="13"/>
      <c r="B224" s="14"/>
      <c r="C224" s="14"/>
      <c r="D224" s="11"/>
      <c r="E224" s="17"/>
      <c r="F224" s="18"/>
      <c r="G224" s="18"/>
      <c r="H224" s="19"/>
      <c r="I224" s="21"/>
      <c r="J224" s="11"/>
      <c r="K224" s="21"/>
      <c r="L224" s="21"/>
      <c r="M224" s="21"/>
    </row>
    <row r="225" ht="15.75" customHeight="1">
      <c r="A225" s="13"/>
      <c r="B225" s="14"/>
      <c r="C225" s="14"/>
      <c r="D225" s="11"/>
      <c r="E225" s="17"/>
      <c r="F225" s="18"/>
      <c r="G225" s="18"/>
      <c r="H225" s="19"/>
      <c r="I225" s="21"/>
      <c r="J225" s="11"/>
      <c r="K225" s="21"/>
      <c r="L225" s="21"/>
      <c r="M225" s="21"/>
    </row>
    <row r="226" ht="15.75" customHeight="1">
      <c r="A226" s="13"/>
      <c r="B226" s="14"/>
      <c r="C226" s="14"/>
      <c r="D226" s="11"/>
      <c r="E226" s="17"/>
      <c r="F226" s="18"/>
      <c r="G226" s="18"/>
      <c r="H226" s="19"/>
      <c r="I226" s="21"/>
      <c r="J226" s="11"/>
      <c r="K226" s="21"/>
      <c r="L226" s="21"/>
      <c r="M226" s="21"/>
    </row>
    <row r="227" ht="15.75" customHeight="1">
      <c r="A227" s="13"/>
      <c r="B227" s="14"/>
      <c r="C227" s="14"/>
      <c r="D227" s="11"/>
      <c r="E227" s="17"/>
      <c r="F227" s="18"/>
      <c r="G227" s="18"/>
      <c r="H227" s="19"/>
      <c r="I227" s="21"/>
      <c r="J227" s="11"/>
      <c r="K227" s="21"/>
      <c r="L227" s="21"/>
      <c r="M227" s="21"/>
    </row>
    <row r="228" ht="15.75" customHeight="1">
      <c r="A228" s="13"/>
      <c r="B228" s="14"/>
      <c r="C228" s="14"/>
      <c r="D228" s="11"/>
      <c r="E228" s="17"/>
      <c r="F228" s="18"/>
      <c r="G228" s="18"/>
      <c r="H228" s="19"/>
      <c r="I228" s="21"/>
      <c r="J228" s="11"/>
      <c r="K228" s="21"/>
      <c r="L228" s="21"/>
      <c r="M228" s="21"/>
    </row>
    <row r="229" ht="15.75" customHeight="1">
      <c r="A229" s="13"/>
      <c r="B229" s="14"/>
      <c r="C229" s="14"/>
      <c r="D229" s="11"/>
      <c r="E229" s="17"/>
      <c r="F229" s="18"/>
      <c r="G229" s="18"/>
      <c r="H229" s="19"/>
      <c r="I229" s="21"/>
      <c r="J229" s="11"/>
      <c r="K229" s="21"/>
      <c r="L229" s="21"/>
      <c r="M229" s="21"/>
    </row>
    <row r="230" ht="15.75" customHeight="1">
      <c r="A230" s="13"/>
      <c r="B230" s="14"/>
      <c r="C230" s="14"/>
      <c r="D230" s="11"/>
      <c r="E230" s="17"/>
      <c r="F230" s="18"/>
      <c r="G230" s="18"/>
      <c r="H230" s="19"/>
      <c r="I230" s="21"/>
      <c r="J230" s="11"/>
      <c r="K230" s="21"/>
      <c r="L230" s="21"/>
      <c r="M230" s="21"/>
    </row>
    <row r="231" ht="15.75" customHeight="1">
      <c r="A231" s="13"/>
      <c r="B231" s="14"/>
      <c r="C231" s="14"/>
      <c r="D231" s="11"/>
      <c r="E231" s="17"/>
      <c r="F231" s="18"/>
      <c r="G231" s="18"/>
      <c r="H231" s="19"/>
      <c r="I231" s="21"/>
      <c r="J231" s="11"/>
      <c r="K231" s="21"/>
      <c r="L231" s="21"/>
      <c r="M231" s="21"/>
    </row>
    <row r="232" ht="15.75" customHeight="1">
      <c r="A232" s="13"/>
      <c r="B232" s="14"/>
      <c r="C232" s="14"/>
      <c r="D232" s="11"/>
      <c r="E232" s="17"/>
      <c r="F232" s="18"/>
      <c r="G232" s="18"/>
      <c r="H232" s="19"/>
      <c r="I232" s="21"/>
      <c r="J232" s="11"/>
      <c r="K232" s="21"/>
      <c r="L232" s="21"/>
      <c r="M232" s="21"/>
    </row>
    <row r="233" ht="15.75" customHeight="1">
      <c r="A233" s="13"/>
      <c r="B233" s="14"/>
      <c r="C233" s="14"/>
      <c r="D233" s="11"/>
      <c r="E233" s="17"/>
      <c r="F233" s="18"/>
      <c r="G233" s="18"/>
      <c r="H233" s="19"/>
      <c r="I233" s="21"/>
      <c r="J233" s="11"/>
      <c r="K233" s="21"/>
      <c r="L233" s="21"/>
      <c r="M233" s="21"/>
    </row>
    <row r="234" ht="15.75" customHeight="1">
      <c r="A234" s="13"/>
      <c r="B234" s="14"/>
      <c r="C234" s="14"/>
      <c r="D234" s="11"/>
      <c r="E234" s="17"/>
      <c r="F234" s="18"/>
      <c r="G234" s="18"/>
      <c r="H234" s="19"/>
      <c r="I234" s="21"/>
      <c r="J234" s="11"/>
      <c r="K234" s="21"/>
      <c r="L234" s="21"/>
      <c r="M234" s="21"/>
    </row>
    <row r="235" ht="15.75" customHeight="1">
      <c r="A235" s="13"/>
      <c r="B235" s="14"/>
      <c r="C235" s="14"/>
      <c r="D235" s="11"/>
      <c r="E235" s="17"/>
      <c r="F235" s="18"/>
      <c r="G235" s="18"/>
      <c r="H235" s="19"/>
      <c r="I235" s="21"/>
      <c r="J235" s="11"/>
      <c r="K235" s="21"/>
      <c r="L235" s="21"/>
      <c r="M235" s="21"/>
    </row>
    <row r="236" ht="15.75" customHeight="1">
      <c r="A236" s="13"/>
      <c r="B236" s="14"/>
      <c r="C236" s="14"/>
      <c r="D236" s="11"/>
      <c r="E236" s="17"/>
      <c r="F236" s="18"/>
      <c r="G236" s="18"/>
      <c r="H236" s="19"/>
      <c r="I236" s="21"/>
      <c r="J236" s="11"/>
      <c r="K236" s="21"/>
      <c r="L236" s="21"/>
      <c r="M236" s="21"/>
    </row>
    <row r="237" ht="15.75" customHeight="1">
      <c r="A237" s="13"/>
      <c r="B237" s="14"/>
      <c r="C237" s="14"/>
      <c r="D237" s="11"/>
      <c r="E237" s="17"/>
      <c r="F237" s="18"/>
      <c r="G237" s="18"/>
      <c r="H237" s="19"/>
      <c r="I237" s="21"/>
      <c r="J237" s="11"/>
      <c r="K237" s="21"/>
      <c r="L237" s="21"/>
      <c r="M237" s="21"/>
    </row>
    <row r="238" ht="15.75" customHeight="1">
      <c r="A238" s="13"/>
      <c r="B238" s="14"/>
      <c r="C238" s="14"/>
      <c r="D238" s="11"/>
      <c r="E238" s="17"/>
      <c r="F238" s="18"/>
      <c r="G238" s="18"/>
      <c r="H238" s="19"/>
      <c r="I238" s="21"/>
      <c r="J238" s="11"/>
      <c r="K238" s="21"/>
      <c r="L238" s="21"/>
      <c r="M238" s="21"/>
    </row>
    <row r="239" ht="15.75" customHeight="1">
      <c r="A239" s="13"/>
      <c r="B239" s="14"/>
      <c r="C239" s="14"/>
      <c r="D239" s="11"/>
      <c r="E239" s="17"/>
      <c r="F239" s="18"/>
      <c r="G239" s="18"/>
      <c r="H239" s="19"/>
      <c r="I239" s="21"/>
      <c r="J239" s="11"/>
      <c r="K239" s="21"/>
      <c r="L239" s="21"/>
      <c r="M239" s="21"/>
    </row>
    <row r="240" ht="15.75" customHeight="1">
      <c r="A240" s="13"/>
      <c r="B240" s="14"/>
      <c r="C240" s="14"/>
      <c r="D240" s="11"/>
      <c r="E240" s="17"/>
      <c r="F240" s="18"/>
      <c r="G240" s="18"/>
      <c r="H240" s="19"/>
      <c r="I240" s="21"/>
      <c r="J240" s="11"/>
      <c r="K240" s="21"/>
      <c r="L240" s="21"/>
      <c r="M240" s="21"/>
    </row>
    <row r="241" ht="15.75" customHeight="1">
      <c r="A241" s="13"/>
      <c r="B241" s="14"/>
      <c r="C241" s="14"/>
      <c r="D241" s="11"/>
      <c r="E241" s="17"/>
      <c r="F241" s="18"/>
      <c r="G241" s="18"/>
      <c r="H241" s="19"/>
      <c r="I241" s="21"/>
      <c r="J241" s="11"/>
      <c r="K241" s="21"/>
      <c r="L241" s="21"/>
      <c r="M241" s="21"/>
    </row>
    <row r="242" ht="15.75" customHeight="1">
      <c r="A242" s="13"/>
      <c r="B242" s="14"/>
      <c r="C242" s="14"/>
      <c r="D242" s="11"/>
      <c r="E242" s="17"/>
      <c r="F242" s="18"/>
      <c r="G242" s="18"/>
      <c r="H242" s="19"/>
      <c r="I242" s="21"/>
      <c r="J242" s="11"/>
      <c r="K242" s="21"/>
      <c r="L242" s="21"/>
      <c r="M242" s="21"/>
    </row>
    <row r="243" ht="15.75" customHeight="1">
      <c r="A243" s="13"/>
      <c r="B243" s="14"/>
      <c r="C243" s="14"/>
      <c r="D243" s="11"/>
      <c r="E243" s="17"/>
      <c r="F243" s="18"/>
      <c r="G243" s="18"/>
      <c r="H243" s="19"/>
      <c r="I243" s="21"/>
      <c r="J243" s="11"/>
      <c r="K243" s="21"/>
      <c r="L243" s="21"/>
      <c r="M243" s="21"/>
    </row>
    <row r="244" ht="15.75" customHeight="1">
      <c r="A244" s="13"/>
      <c r="B244" s="14"/>
      <c r="C244" s="14"/>
      <c r="D244" s="11"/>
      <c r="E244" s="17"/>
      <c r="F244" s="18"/>
      <c r="G244" s="18"/>
      <c r="H244" s="19"/>
      <c r="I244" s="21"/>
      <c r="J244" s="11"/>
      <c r="K244" s="21"/>
      <c r="L244" s="21"/>
      <c r="M244" s="21"/>
    </row>
    <row r="245" ht="15.75" customHeight="1">
      <c r="A245" s="13"/>
      <c r="B245" s="14"/>
      <c r="C245" s="14"/>
      <c r="D245" s="11"/>
      <c r="E245" s="17"/>
      <c r="F245" s="18"/>
      <c r="G245" s="18"/>
      <c r="H245" s="19"/>
      <c r="I245" s="21"/>
      <c r="J245" s="11"/>
      <c r="K245" s="21"/>
      <c r="L245" s="21"/>
      <c r="M245" s="21"/>
    </row>
    <row r="246" ht="15.75" customHeight="1">
      <c r="A246" s="13"/>
      <c r="B246" s="14"/>
      <c r="C246" s="14"/>
      <c r="D246" s="11"/>
      <c r="E246" s="17"/>
      <c r="F246" s="18"/>
      <c r="G246" s="18"/>
      <c r="H246" s="19"/>
      <c r="I246" s="21"/>
      <c r="J246" s="11"/>
      <c r="K246" s="21"/>
      <c r="L246" s="21"/>
      <c r="M246" s="21"/>
    </row>
    <row r="247" ht="15.75" customHeight="1">
      <c r="A247" s="13"/>
      <c r="B247" s="14"/>
      <c r="C247" s="14"/>
      <c r="D247" s="11"/>
      <c r="E247" s="17"/>
      <c r="F247" s="18"/>
      <c r="G247" s="18"/>
      <c r="H247" s="19"/>
      <c r="I247" s="21"/>
      <c r="J247" s="11"/>
      <c r="K247" s="21"/>
      <c r="L247" s="21"/>
      <c r="M247" s="21"/>
    </row>
    <row r="248" ht="15.75" customHeight="1">
      <c r="A248" s="13"/>
      <c r="B248" s="14"/>
      <c r="C248" s="14"/>
      <c r="D248" s="11"/>
      <c r="E248" s="17"/>
      <c r="F248" s="18"/>
      <c r="G248" s="18"/>
      <c r="H248" s="19"/>
      <c r="I248" s="21"/>
      <c r="J248" s="11"/>
      <c r="K248" s="21"/>
      <c r="L248" s="21"/>
      <c r="M248" s="21"/>
    </row>
    <row r="249" ht="15.75" customHeight="1">
      <c r="A249" s="13"/>
      <c r="B249" s="14"/>
      <c r="C249" s="14"/>
      <c r="D249" s="11"/>
      <c r="E249" s="17"/>
      <c r="F249" s="18"/>
      <c r="G249" s="18"/>
      <c r="H249" s="19"/>
      <c r="I249" s="21"/>
      <c r="J249" s="11"/>
      <c r="K249" s="21"/>
      <c r="L249" s="21"/>
      <c r="M249" s="21"/>
    </row>
    <row r="250" ht="15.75" customHeight="1">
      <c r="A250" s="13"/>
      <c r="B250" s="14"/>
      <c r="C250" s="14"/>
      <c r="D250" s="11"/>
      <c r="E250" s="17"/>
      <c r="F250" s="18"/>
      <c r="G250" s="18"/>
      <c r="H250" s="19"/>
      <c r="I250" s="21"/>
      <c r="J250" s="11"/>
      <c r="K250" s="21"/>
      <c r="L250" s="21"/>
      <c r="M250" s="21"/>
    </row>
    <row r="251" ht="15.75" customHeight="1">
      <c r="A251" s="13"/>
      <c r="B251" s="14"/>
      <c r="C251" s="14"/>
      <c r="D251" s="11"/>
      <c r="E251" s="17"/>
      <c r="F251" s="18"/>
      <c r="G251" s="18"/>
      <c r="H251" s="19"/>
      <c r="I251" s="21"/>
      <c r="J251" s="11"/>
      <c r="K251" s="21"/>
      <c r="L251" s="21"/>
      <c r="M251" s="21"/>
    </row>
    <row r="252" ht="15.75" customHeight="1">
      <c r="A252" s="13"/>
      <c r="B252" s="14"/>
      <c r="C252" s="14"/>
      <c r="D252" s="11"/>
      <c r="E252" s="17"/>
      <c r="F252" s="18"/>
      <c r="G252" s="18"/>
      <c r="H252" s="19"/>
      <c r="I252" s="21"/>
      <c r="J252" s="11"/>
      <c r="K252" s="21"/>
      <c r="L252" s="21"/>
      <c r="M252" s="21"/>
    </row>
    <row r="253" ht="15.75" customHeight="1">
      <c r="A253" s="13"/>
      <c r="B253" s="14"/>
      <c r="C253" s="14"/>
      <c r="D253" s="11"/>
      <c r="E253" s="17"/>
      <c r="F253" s="18"/>
      <c r="G253" s="18"/>
      <c r="H253" s="19"/>
      <c r="I253" s="21"/>
      <c r="J253" s="11"/>
      <c r="K253" s="21"/>
      <c r="L253" s="21"/>
      <c r="M253" s="21"/>
    </row>
    <row r="254" ht="15.75" customHeight="1">
      <c r="A254" s="13"/>
      <c r="B254" s="14"/>
      <c r="C254" s="14"/>
      <c r="D254" s="11"/>
      <c r="E254" s="17"/>
      <c r="F254" s="18"/>
      <c r="G254" s="18"/>
      <c r="H254" s="19"/>
      <c r="I254" s="21"/>
      <c r="J254" s="11"/>
      <c r="K254" s="21"/>
      <c r="L254" s="21"/>
      <c r="M254" s="21"/>
    </row>
    <row r="255" ht="15.75" customHeight="1">
      <c r="A255" s="13"/>
      <c r="B255" s="14"/>
      <c r="C255" s="14"/>
      <c r="D255" s="11"/>
      <c r="E255" s="17"/>
      <c r="F255" s="18"/>
      <c r="G255" s="18"/>
      <c r="H255" s="19"/>
      <c r="I255" s="21"/>
      <c r="J255" s="11"/>
      <c r="K255" s="21"/>
      <c r="L255" s="21"/>
      <c r="M255" s="21"/>
    </row>
    <row r="256" ht="15.75" customHeight="1">
      <c r="A256" s="13"/>
      <c r="B256" s="14"/>
      <c r="C256" s="14"/>
      <c r="D256" s="11"/>
      <c r="E256" s="17"/>
      <c r="F256" s="18"/>
      <c r="G256" s="18"/>
      <c r="H256" s="19"/>
      <c r="I256" s="21"/>
      <c r="J256" s="11"/>
      <c r="K256" s="21"/>
      <c r="L256" s="21"/>
      <c r="M256" s="21"/>
    </row>
    <row r="257" ht="15.75" customHeight="1">
      <c r="A257" s="13"/>
      <c r="B257" s="14"/>
      <c r="C257" s="14"/>
      <c r="D257" s="11"/>
      <c r="E257" s="17"/>
      <c r="F257" s="18"/>
      <c r="G257" s="18"/>
      <c r="H257" s="19"/>
      <c r="I257" s="21"/>
      <c r="J257" s="11"/>
      <c r="K257" s="21"/>
      <c r="L257" s="21"/>
      <c r="M257" s="21"/>
    </row>
    <row r="258" ht="15.75" customHeight="1">
      <c r="A258" s="13"/>
      <c r="B258" s="14"/>
      <c r="C258" s="14"/>
      <c r="D258" s="11"/>
      <c r="E258" s="17"/>
      <c r="F258" s="18"/>
      <c r="G258" s="18"/>
      <c r="H258" s="19"/>
      <c r="I258" s="21"/>
      <c r="J258" s="11"/>
      <c r="K258" s="21"/>
      <c r="L258" s="21"/>
      <c r="M258" s="21"/>
    </row>
    <row r="259" ht="15.75" customHeight="1">
      <c r="A259" s="13"/>
      <c r="B259" s="14"/>
      <c r="C259" s="14"/>
      <c r="D259" s="11"/>
      <c r="E259" s="17"/>
      <c r="F259" s="18"/>
      <c r="G259" s="18"/>
      <c r="H259" s="19"/>
      <c r="I259" s="21"/>
      <c r="J259" s="11"/>
      <c r="K259" s="21"/>
      <c r="L259" s="21"/>
      <c r="M259" s="21"/>
    </row>
    <row r="260" ht="15.75" customHeight="1">
      <c r="A260" s="13"/>
      <c r="B260" s="14"/>
      <c r="C260" s="14"/>
      <c r="D260" s="11"/>
      <c r="E260" s="17"/>
      <c r="F260" s="18"/>
      <c r="G260" s="18"/>
      <c r="H260" s="19"/>
      <c r="I260" s="21"/>
      <c r="J260" s="11"/>
      <c r="K260" s="21"/>
      <c r="L260" s="21"/>
      <c r="M260" s="21"/>
    </row>
    <row r="261" ht="15.75" customHeight="1">
      <c r="A261" s="13"/>
      <c r="B261" s="14"/>
      <c r="C261" s="14"/>
      <c r="D261" s="11"/>
      <c r="E261" s="17"/>
      <c r="F261" s="18"/>
      <c r="G261" s="18"/>
      <c r="H261" s="19"/>
      <c r="I261" s="21"/>
      <c r="J261" s="11"/>
      <c r="K261" s="21"/>
      <c r="L261" s="21"/>
      <c r="M261" s="21"/>
    </row>
    <row r="262" ht="15.75" customHeight="1">
      <c r="A262" s="13"/>
      <c r="B262" s="14"/>
      <c r="C262" s="14"/>
      <c r="D262" s="11"/>
      <c r="E262" s="17"/>
      <c r="F262" s="18"/>
      <c r="G262" s="18"/>
      <c r="H262" s="19"/>
      <c r="I262" s="21"/>
      <c r="J262" s="11"/>
      <c r="K262" s="21"/>
      <c r="L262" s="21"/>
      <c r="M262" s="21"/>
    </row>
    <row r="263" ht="15.75" customHeight="1">
      <c r="A263" s="13"/>
      <c r="B263" s="14"/>
      <c r="C263" s="14"/>
      <c r="D263" s="11"/>
      <c r="E263" s="17"/>
      <c r="F263" s="18"/>
      <c r="G263" s="18"/>
      <c r="H263" s="19"/>
      <c r="I263" s="21"/>
      <c r="J263" s="11"/>
      <c r="K263" s="21"/>
      <c r="L263" s="21"/>
      <c r="M263" s="21"/>
    </row>
    <row r="264" ht="15.75" customHeight="1">
      <c r="A264" s="13"/>
      <c r="B264" s="14"/>
      <c r="C264" s="14"/>
      <c r="D264" s="11"/>
      <c r="E264" s="17"/>
      <c r="F264" s="18"/>
      <c r="G264" s="18"/>
      <c r="H264" s="19"/>
      <c r="I264" s="21"/>
      <c r="J264" s="11"/>
      <c r="K264" s="21"/>
      <c r="L264" s="21"/>
      <c r="M264" s="21"/>
    </row>
    <row r="265" ht="15.75" customHeight="1">
      <c r="A265" s="13"/>
      <c r="B265" s="14"/>
      <c r="C265" s="14"/>
      <c r="D265" s="11"/>
      <c r="E265" s="17"/>
      <c r="F265" s="18"/>
      <c r="G265" s="18"/>
      <c r="H265" s="19"/>
      <c r="I265" s="21"/>
      <c r="J265" s="11"/>
      <c r="K265" s="21"/>
      <c r="L265" s="21"/>
      <c r="M265" s="21"/>
    </row>
    <row r="266" ht="15.75" customHeight="1">
      <c r="A266" s="13"/>
      <c r="B266" s="14"/>
      <c r="C266" s="14"/>
      <c r="D266" s="11"/>
      <c r="E266" s="17"/>
      <c r="F266" s="18"/>
      <c r="G266" s="18"/>
      <c r="H266" s="19"/>
      <c r="I266" s="21"/>
      <c r="J266" s="11"/>
      <c r="K266" s="21"/>
      <c r="L266" s="21"/>
      <c r="M266" s="21"/>
    </row>
    <row r="267" ht="15.75" customHeight="1">
      <c r="A267" s="13"/>
      <c r="B267" s="14"/>
      <c r="C267" s="14"/>
      <c r="D267" s="11"/>
      <c r="E267" s="17"/>
      <c r="F267" s="18"/>
      <c r="G267" s="18"/>
      <c r="H267" s="19"/>
      <c r="I267" s="21"/>
      <c r="J267" s="11"/>
      <c r="K267" s="21"/>
      <c r="L267" s="21"/>
      <c r="M267" s="21"/>
    </row>
    <row r="268" ht="15.75" customHeight="1">
      <c r="A268" s="13"/>
      <c r="B268" s="14"/>
      <c r="C268" s="14"/>
      <c r="D268" s="11"/>
      <c r="E268" s="17"/>
      <c r="F268" s="18"/>
      <c r="G268" s="18"/>
      <c r="H268" s="19"/>
      <c r="I268" s="21"/>
      <c r="J268" s="11"/>
      <c r="K268" s="21"/>
      <c r="L268" s="21"/>
      <c r="M268" s="21"/>
    </row>
    <row r="269" ht="15.75" customHeight="1">
      <c r="A269" s="13"/>
      <c r="B269" s="14"/>
      <c r="C269" s="14"/>
      <c r="D269" s="11"/>
      <c r="E269" s="17"/>
      <c r="F269" s="18"/>
      <c r="G269" s="18"/>
      <c r="H269" s="19"/>
      <c r="I269" s="21"/>
      <c r="J269" s="11"/>
      <c r="K269" s="21"/>
      <c r="L269" s="21"/>
      <c r="M269" s="21"/>
    </row>
    <row r="270" ht="15.75" customHeight="1">
      <c r="A270" s="13"/>
      <c r="B270" s="14"/>
      <c r="C270" s="14"/>
      <c r="D270" s="11"/>
      <c r="E270" s="17"/>
      <c r="F270" s="18"/>
      <c r="G270" s="18"/>
      <c r="H270" s="19"/>
      <c r="I270" s="21"/>
      <c r="J270" s="11"/>
      <c r="K270" s="21"/>
      <c r="L270" s="21"/>
      <c r="M270" s="21"/>
    </row>
    <row r="271" ht="15.75" customHeight="1">
      <c r="A271" s="13"/>
      <c r="B271" s="14"/>
      <c r="C271" s="14"/>
      <c r="D271" s="11"/>
      <c r="E271" s="17"/>
      <c r="F271" s="18"/>
      <c r="G271" s="18"/>
      <c r="H271" s="19"/>
      <c r="I271" s="21"/>
      <c r="J271" s="11"/>
      <c r="K271" s="21"/>
      <c r="L271" s="21"/>
      <c r="M271" s="21"/>
    </row>
    <row r="272" ht="15.75" customHeight="1">
      <c r="A272" s="13"/>
      <c r="B272" s="14"/>
      <c r="C272" s="14"/>
      <c r="D272" s="11"/>
      <c r="E272" s="17"/>
      <c r="F272" s="18"/>
      <c r="G272" s="18"/>
      <c r="H272" s="19"/>
      <c r="I272" s="21"/>
      <c r="J272" s="11"/>
      <c r="K272" s="21"/>
      <c r="L272" s="21"/>
      <c r="M272" s="21"/>
    </row>
    <row r="273" ht="15.75" customHeight="1">
      <c r="A273" s="13"/>
      <c r="B273" s="14"/>
      <c r="C273" s="14"/>
      <c r="D273" s="11"/>
      <c r="E273" s="17"/>
      <c r="F273" s="18"/>
      <c r="G273" s="18"/>
      <c r="H273" s="19"/>
      <c r="I273" s="21"/>
      <c r="J273" s="11"/>
      <c r="K273" s="21"/>
      <c r="L273" s="21"/>
      <c r="M273" s="21"/>
    </row>
    <row r="274" ht="15.75" customHeight="1">
      <c r="A274" s="13"/>
      <c r="B274" s="14"/>
      <c r="C274" s="14"/>
      <c r="D274" s="11"/>
      <c r="E274" s="17"/>
      <c r="F274" s="18"/>
      <c r="G274" s="18"/>
      <c r="H274" s="19"/>
      <c r="I274" s="21"/>
      <c r="J274" s="11"/>
      <c r="K274" s="21"/>
      <c r="L274" s="21"/>
      <c r="M274" s="21"/>
    </row>
    <row r="275" ht="15.75" customHeight="1">
      <c r="A275" s="13"/>
      <c r="B275" s="14"/>
      <c r="C275" s="14"/>
      <c r="D275" s="11"/>
      <c r="E275" s="17"/>
      <c r="F275" s="18"/>
      <c r="G275" s="18"/>
      <c r="H275" s="19"/>
      <c r="I275" s="21"/>
      <c r="J275" s="11"/>
      <c r="K275" s="21"/>
      <c r="L275" s="21"/>
      <c r="M275" s="21"/>
    </row>
    <row r="276" ht="15.75" customHeight="1">
      <c r="A276" s="13"/>
      <c r="B276" s="14"/>
      <c r="C276" s="14"/>
      <c r="D276" s="11"/>
      <c r="E276" s="17"/>
      <c r="F276" s="18"/>
      <c r="G276" s="18"/>
      <c r="H276" s="19"/>
      <c r="I276" s="21"/>
      <c r="J276" s="11"/>
      <c r="K276" s="21"/>
      <c r="L276" s="21"/>
      <c r="M276" s="21"/>
    </row>
    <row r="277" ht="15.75" customHeight="1">
      <c r="A277" s="13"/>
      <c r="B277" s="14"/>
      <c r="C277" s="14"/>
      <c r="D277" s="11"/>
      <c r="E277" s="17"/>
      <c r="F277" s="18"/>
      <c r="G277" s="18"/>
      <c r="H277" s="19"/>
      <c r="I277" s="21"/>
      <c r="J277" s="11"/>
      <c r="K277" s="21"/>
      <c r="L277" s="21"/>
      <c r="M277" s="21"/>
    </row>
    <row r="278" ht="15.75" customHeight="1">
      <c r="A278" s="13"/>
      <c r="B278" s="14"/>
      <c r="C278" s="14"/>
      <c r="D278" s="11"/>
      <c r="E278" s="17"/>
      <c r="F278" s="18"/>
      <c r="G278" s="18"/>
      <c r="H278" s="19"/>
      <c r="I278" s="21"/>
      <c r="J278" s="11"/>
      <c r="K278" s="21"/>
      <c r="L278" s="21"/>
      <c r="M278" s="21"/>
    </row>
    <row r="279" ht="15.75" customHeight="1">
      <c r="A279" s="13"/>
      <c r="B279" s="14"/>
      <c r="C279" s="14"/>
      <c r="D279" s="11"/>
      <c r="E279" s="17"/>
      <c r="F279" s="18"/>
      <c r="G279" s="18"/>
      <c r="H279" s="19"/>
      <c r="I279" s="21"/>
      <c r="J279" s="11"/>
      <c r="K279" s="21"/>
      <c r="L279" s="21"/>
      <c r="M279" s="21"/>
    </row>
    <row r="280" ht="15.75" customHeight="1">
      <c r="A280" s="13"/>
      <c r="B280" s="14"/>
      <c r="C280" s="14"/>
      <c r="D280" s="11"/>
      <c r="E280" s="17"/>
      <c r="F280" s="18"/>
      <c r="G280" s="18"/>
      <c r="H280" s="19"/>
      <c r="I280" s="21"/>
      <c r="J280" s="11"/>
      <c r="K280" s="21"/>
      <c r="L280" s="21"/>
      <c r="M280" s="21"/>
    </row>
    <row r="281" ht="15.75" customHeight="1">
      <c r="A281" s="13"/>
      <c r="B281" s="14"/>
      <c r="C281" s="14"/>
      <c r="D281" s="11"/>
      <c r="E281" s="17"/>
      <c r="F281" s="18"/>
      <c r="G281" s="18"/>
      <c r="H281" s="19"/>
      <c r="I281" s="21"/>
      <c r="J281" s="11"/>
      <c r="K281" s="21"/>
      <c r="L281" s="21"/>
      <c r="M281" s="21"/>
    </row>
    <row r="282" ht="15.75" customHeight="1">
      <c r="A282" s="13"/>
      <c r="B282" s="14"/>
      <c r="C282" s="14"/>
      <c r="D282" s="11"/>
      <c r="E282" s="17"/>
      <c r="F282" s="18"/>
      <c r="G282" s="18"/>
      <c r="H282" s="19"/>
      <c r="I282" s="21"/>
      <c r="J282" s="11"/>
      <c r="K282" s="21"/>
      <c r="L282" s="21"/>
      <c r="M282" s="21"/>
    </row>
    <row r="283" ht="15.75" customHeight="1">
      <c r="A283" s="13"/>
      <c r="B283" s="14"/>
      <c r="C283" s="14"/>
      <c r="D283" s="11"/>
      <c r="E283" s="17"/>
      <c r="F283" s="18"/>
      <c r="G283" s="18"/>
      <c r="H283" s="19"/>
      <c r="I283" s="21"/>
      <c r="J283" s="11"/>
      <c r="K283" s="21"/>
      <c r="L283" s="21"/>
      <c r="M283" s="21"/>
    </row>
    <row r="284" ht="15.75" customHeight="1">
      <c r="A284" s="13"/>
      <c r="B284" s="14"/>
      <c r="C284" s="14"/>
      <c r="D284" s="11"/>
      <c r="E284" s="17"/>
      <c r="F284" s="18"/>
      <c r="G284" s="18"/>
      <c r="H284" s="19"/>
      <c r="I284" s="21"/>
      <c r="J284" s="11"/>
      <c r="K284" s="21"/>
      <c r="L284" s="21"/>
      <c r="M284" s="21"/>
    </row>
    <row r="285" ht="15.75" customHeight="1">
      <c r="A285" s="13"/>
      <c r="B285" s="14"/>
      <c r="C285" s="14"/>
      <c r="D285" s="11"/>
      <c r="E285" s="17"/>
      <c r="F285" s="18"/>
      <c r="G285" s="18"/>
      <c r="H285" s="19"/>
      <c r="I285" s="21"/>
      <c r="J285" s="11"/>
      <c r="K285" s="21"/>
      <c r="L285" s="21"/>
      <c r="M285" s="21"/>
    </row>
    <row r="286" ht="15.75" customHeight="1">
      <c r="A286" s="13"/>
      <c r="B286" s="14"/>
      <c r="C286" s="14"/>
      <c r="D286" s="11"/>
      <c r="E286" s="17"/>
      <c r="F286" s="18"/>
      <c r="G286" s="18"/>
      <c r="H286" s="19"/>
      <c r="I286" s="21"/>
      <c r="J286" s="11"/>
      <c r="K286" s="21"/>
      <c r="L286" s="21"/>
      <c r="M286" s="21"/>
    </row>
    <row r="287" ht="15.75" customHeight="1">
      <c r="A287" s="13"/>
      <c r="B287" s="14"/>
      <c r="C287" s="14"/>
      <c r="D287" s="11"/>
      <c r="E287" s="17"/>
      <c r="F287" s="18"/>
      <c r="G287" s="18"/>
      <c r="H287" s="19"/>
      <c r="I287" s="21"/>
      <c r="J287" s="11"/>
      <c r="K287" s="21"/>
      <c r="L287" s="21"/>
      <c r="M287" s="21"/>
    </row>
    <row r="288" ht="15.75" customHeight="1">
      <c r="A288" s="13"/>
      <c r="B288" s="14"/>
      <c r="C288" s="14"/>
      <c r="D288" s="11"/>
      <c r="E288" s="17"/>
      <c r="F288" s="18"/>
      <c r="G288" s="18"/>
      <c r="H288" s="19"/>
      <c r="I288" s="21"/>
      <c r="J288" s="11"/>
      <c r="K288" s="21"/>
      <c r="L288" s="21"/>
      <c r="M288" s="21"/>
    </row>
    <row r="289" ht="15.75" customHeight="1">
      <c r="A289" s="13"/>
      <c r="B289" s="14"/>
      <c r="C289" s="14"/>
      <c r="D289" s="11"/>
      <c r="E289" s="17"/>
      <c r="F289" s="18"/>
      <c r="G289" s="18"/>
      <c r="H289" s="19"/>
      <c r="I289" s="21"/>
      <c r="J289" s="11"/>
      <c r="K289" s="21"/>
      <c r="L289" s="21"/>
      <c r="M289" s="21"/>
    </row>
    <row r="290" ht="15.75" customHeight="1">
      <c r="A290" s="13"/>
      <c r="B290" s="14"/>
      <c r="C290" s="14"/>
      <c r="D290" s="11"/>
      <c r="E290" s="17"/>
      <c r="F290" s="18"/>
      <c r="G290" s="18"/>
      <c r="H290" s="19"/>
      <c r="I290" s="21"/>
      <c r="J290" s="11"/>
      <c r="K290" s="21"/>
      <c r="L290" s="21"/>
      <c r="M290" s="21"/>
    </row>
    <row r="291" ht="15.75" customHeight="1">
      <c r="A291" s="13"/>
      <c r="B291" s="14"/>
      <c r="C291" s="14"/>
      <c r="D291" s="11"/>
      <c r="E291" s="17"/>
      <c r="F291" s="18"/>
      <c r="G291" s="18"/>
      <c r="H291" s="19"/>
      <c r="I291" s="21"/>
      <c r="J291" s="11"/>
      <c r="K291" s="21"/>
      <c r="L291" s="21"/>
      <c r="M291" s="21"/>
    </row>
    <row r="292" ht="15.75" customHeight="1">
      <c r="A292" s="13"/>
      <c r="B292" s="14"/>
      <c r="C292" s="14"/>
      <c r="D292" s="11"/>
      <c r="E292" s="17"/>
      <c r="F292" s="18"/>
      <c r="G292" s="18"/>
      <c r="H292" s="19"/>
      <c r="I292" s="21"/>
      <c r="J292" s="11"/>
      <c r="K292" s="21"/>
      <c r="L292" s="21"/>
      <c r="M292" s="21"/>
    </row>
    <row r="293" ht="15.75" customHeight="1">
      <c r="A293" s="13"/>
      <c r="B293" s="14"/>
      <c r="C293" s="14"/>
      <c r="D293" s="11"/>
      <c r="E293" s="17"/>
      <c r="F293" s="18"/>
      <c r="G293" s="18"/>
      <c r="H293" s="19"/>
      <c r="I293" s="21"/>
      <c r="J293" s="11"/>
      <c r="K293" s="21"/>
      <c r="L293" s="21"/>
      <c r="M293" s="21"/>
    </row>
    <row r="294" ht="15.75" customHeight="1">
      <c r="A294" s="13"/>
      <c r="B294" s="14"/>
      <c r="C294" s="14"/>
      <c r="D294" s="11"/>
      <c r="E294" s="17"/>
      <c r="F294" s="18"/>
      <c r="G294" s="18"/>
      <c r="H294" s="19"/>
      <c r="I294" s="21"/>
      <c r="J294" s="11"/>
      <c r="K294" s="21"/>
      <c r="L294" s="21"/>
      <c r="M294" s="21"/>
    </row>
    <row r="295" ht="15.75" customHeight="1">
      <c r="A295" s="13"/>
      <c r="B295" s="14"/>
      <c r="C295" s="14"/>
      <c r="D295" s="11"/>
      <c r="E295" s="17"/>
      <c r="F295" s="18"/>
      <c r="G295" s="18"/>
      <c r="H295" s="19"/>
      <c r="I295" s="21"/>
      <c r="J295" s="11"/>
      <c r="K295" s="21"/>
      <c r="L295" s="21"/>
      <c r="M295" s="21"/>
    </row>
    <row r="296" ht="15.75" customHeight="1">
      <c r="A296" s="13"/>
      <c r="B296" s="14"/>
      <c r="C296" s="14"/>
      <c r="D296" s="11"/>
      <c r="E296" s="17"/>
      <c r="F296" s="18"/>
      <c r="G296" s="18"/>
      <c r="H296" s="19"/>
      <c r="I296" s="21"/>
      <c r="J296" s="11"/>
      <c r="K296" s="21"/>
      <c r="L296" s="21"/>
      <c r="M296" s="21"/>
    </row>
    <row r="297" ht="15.75" customHeight="1">
      <c r="A297" s="13"/>
      <c r="B297" s="14"/>
      <c r="C297" s="14"/>
      <c r="D297" s="11"/>
      <c r="E297" s="17"/>
      <c r="F297" s="18"/>
      <c r="G297" s="18"/>
      <c r="H297" s="19"/>
      <c r="I297" s="21"/>
      <c r="J297" s="11"/>
      <c r="K297" s="21"/>
      <c r="L297" s="21"/>
      <c r="M297" s="21"/>
    </row>
    <row r="298" ht="15.75" customHeight="1">
      <c r="A298" s="13"/>
      <c r="B298" s="14"/>
      <c r="C298" s="14"/>
      <c r="D298" s="11"/>
      <c r="E298" s="17"/>
      <c r="F298" s="18"/>
      <c r="G298" s="18"/>
      <c r="H298" s="19"/>
      <c r="I298" s="21"/>
      <c r="J298" s="11"/>
      <c r="K298" s="21"/>
      <c r="L298" s="21"/>
      <c r="M298" s="21"/>
    </row>
    <row r="299" ht="15.75" customHeight="1">
      <c r="A299" s="13"/>
      <c r="B299" s="14"/>
      <c r="C299" s="14"/>
      <c r="D299" s="11"/>
      <c r="E299" s="17"/>
      <c r="F299" s="18"/>
      <c r="G299" s="18"/>
      <c r="H299" s="19"/>
      <c r="I299" s="21"/>
      <c r="J299" s="11"/>
      <c r="K299" s="21"/>
      <c r="L299" s="21"/>
      <c r="M299" s="21"/>
    </row>
    <row r="300" ht="15.75" customHeight="1">
      <c r="A300" s="13"/>
      <c r="B300" s="14"/>
      <c r="C300" s="14"/>
      <c r="D300" s="11"/>
      <c r="E300" s="17"/>
      <c r="F300" s="18"/>
      <c r="G300" s="18"/>
      <c r="H300" s="19"/>
      <c r="I300" s="21"/>
      <c r="J300" s="11"/>
      <c r="K300" s="21"/>
      <c r="L300" s="21"/>
      <c r="M300" s="21"/>
    </row>
    <row r="301" ht="15.75" customHeight="1">
      <c r="A301" s="13"/>
      <c r="B301" s="14"/>
      <c r="C301" s="14"/>
      <c r="D301" s="11"/>
      <c r="E301" s="17"/>
      <c r="F301" s="18"/>
      <c r="G301" s="18"/>
      <c r="H301" s="19"/>
      <c r="I301" s="21"/>
      <c r="J301" s="11"/>
      <c r="K301" s="21"/>
      <c r="L301" s="21"/>
      <c r="M301" s="21"/>
    </row>
    <row r="302" ht="15.75" customHeight="1">
      <c r="A302" s="13"/>
      <c r="B302" s="14"/>
      <c r="C302" s="14"/>
      <c r="D302" s="11"/>
      <c r="E302" s="17"/>
      <c r="F302" s="18"/>
      <c r="G302" s="18"/>
      <c r="H302" s="19"/>
      <c r="I302" s="21"/>
      <c r="J302" s="11"/>
      <c r="K302" s="21"/>
      <c r="L302" s="21"/>
      <c r="M302" s="21"/>
    </row>
    <row r="303" ht="15.75" customHeight="1">
      <c r="A303" s="13"/>
      <c r="B303" s="14"/>
      <c r="C303" s="14"/>
      <c r="D303" s="11"/>
      <c r="E303" s="17"/>
      <c r="F303" s="18"/>
      <c r="G303" s="18"/>
      <c r="H303" s="19"/>
      <c r="I303" s="21"/>
      <c r="J303" s="11"/>
      <c r="K303" s="21"/>
      <c r="L303" s="21"/>
      <c r="M303" s="21"/>
    </row>
    <row r="304" ht="15.75" customHeight="1">
      <c r="A304" s="13"/>
      <c r="B304" s="14"/>
      <c r="C304" s="14"/>
      <c r="D304" s="11"/>
      <c r="E304" s="17"/>
      <c r="F304" s="18"/>
      <c r="G304" s="18"/>
      <c r="H304" s="19"/>
      <c r="I304" s="21"/>
      <c r="J304" s="11"/>
      <c r="K304" s="21"/>
      <c r="L304" s="21"/>
      <c r="M304" s="21"/>
    </row>
    <row r="305" ht="15.75" customHeight="1">
      <c r="A305" s="13"/>
      <c r="B305" s="14"/>
      <c r="C305" s="14"/>
      <c r="D305" s="11"/>
      <c r="E305" s="17"/>
      <c r="F305" s="18"/>
      <c r="G305" s="18"/>
      <c r="H305" s="19"/>
      <c r="I305" s="21"/>
      <c r="J305" s="11"/>
      <c r="K305" s="21"/>
      <c r="L305" s="21"/>
      <c r="M305" s="21"/>
    </row>
    <row r="306" ht="15.75" customHeight="1">
      <c r="A306" s="13"/>
      <c r="B306" s="14"/>
      <c r="C306" s="14"/>
      <c r="D306" s="11"/>
      <c r="E306" s="17"/>
      <c r="F306" s="18"/>
      <c r="G306" s="18"/>
      <c r="H306" s="19"/>
      <c r="I306" s="21"/>
      <c r="J306" s="11"/>
      <c r="K306" s="21"/>
      <c r="L306" s="21"/>
      <c r="M306" s="21"/>
    </row>
    <row r="307" ht="15.75" customHeight="1">
      <c r="A307" s="13"/>
      <c r="B307" s="14"/>
      <c r="C307" s="14"/>
      <c r="D307" s="11"/>
      <c r="E307" s="17"/>
      <c r="F307" s="18"/>
      <c r="G307" s="18"/>
      <c r="H307" s="19"/>
      <c r="I307" s="21"/>
      <c r="J307" s="11"/>
      <c r="K307" s="21"/>
      <c r="L307" s="21"/>
      <c r="M307" s="21"/>
    </row>
    <row r="308" ht="15.75" customHeight="1">
      <c r="A308" s="13"/>
      <c r="B308" s="14"/>
      <c r="C308" s="14"/>
      <c r="D308" s="11"/>
      <c r="E308" s="17"/>
      <c r="F308" s="18"/>
      <c r="G308" s="18"/>
      <c r="H308" s="19"/>
      <c r="I308" s="21"/>
      <c r="J308" s="11"/>
      <c r="K308" s="21"/>
      <c r="L308" s="21"/>
      <c r="M308" s="21"/>
    </row>
    <row r="309" ht="15.75" customHeight="1">
      <c r="A309" s="13"/>
      <c r="B309" s="14"/>
      <c r="C309" s="14"/>
      <c r="D309" s="11"/>
      <c r="E309" s="17"/>
      <c r="F309" s="18"/>
      <c r="G309" s="18"/>
      <c r="H309" s="19"/>
      <c r="I309" s="21"/>
      <c r="J309" s="11"/>
      <c r="K309" s="21"/>
      <c r="L309" s="21"/>
      <c r="M309" s="21"/>
    </row>
    <row r="310" ht="15.75" customHeight="1">
      <c r="A310" s="13"/>
      <c r="B310" s="14"/>
      <c r="C310" s="14"/>
      <c r="D310" s="11"/>
      <c r="E310" s="17"/>
      <c r="F310" s="18"/>
      <c r="G310" s="18"/>
      <c r="H310" s="19"/>
      <c r="I310" s="21"/>
      <c r="J310" s="11"/>
      <c r="K310" s="21"/>
      <c r="L310" s="21"/>
      <c r="M310" s="21"/>
    </row>
    <row r="311" ht="15.75" customHeight="1">
      <c r="A311" s="13"/>
      <c r="B311" s="14"/>
      <c r="C311" s="14"/>
      <c r="D311" s="11"/>
      <c r="E311" s="17"/>
      <c r="F311" s="18"/>
      <c r="G311" s="18"/>
      <c r="H311" s="19"/>
      <c r="I311" s="21"/>
      <c r="J311" s="11"/>
      <c r="K311" s="21"/>
      <c r="L311" s="21"/>
      <c r="M311" s="21"/>
    </row>
    <row r="312" ht="15.75" customHeight="1">
      <c r="A312" s="13"/>
      <c r="B312" s="14"/>
      <c r="C312" s="14"/>
      <c r="D312" s="11"/>
      <c r="E312" s="17"/>
      <c r="F312" s="18"/>
      <c r="G312" s="18"/>
      <c r="H312" s="19"/>
      <c r="I312" s="21"/>
      <c r="J312" s="11"/>
      <c r="K312" s="21"/>
      <c r="L312" s="21"/>
      <c r="M312" s="21"/>
    </row>
    <row r="313" ht="15.75" customHeight="1">
      <c r="A313" s="13"/>
      <c r="B313" s="14"/>
      <c r="C313" s="14"/>
      <c r="D313" s="11"/>
      <c r="E313" s="17"/>
      <c r="F313" s="18"/>
      <c r="G313" s="18"/>
      <c r="H313" s="19"/>
      <c r="I313" s="21"/>
      <c r="J313" s="11"/>
      <c r="K313" s="21"/>
      <c r="L313" s="21"/>
      <c r="M313" s="21"/>
    </row>
    <row r="314" ht="15.75" customHeight="1">
      <c r="A314" s="13"/>
      <c r="B314" s="14"/>
      <c r="C314" s="14"/>
      <c r="D314" s="11"/>
      <c r="E314" s="17"/>
      <c r="F314" s="18"/>
      <c r="G314" s="18"/>
      <c r="H314" s="19"/>
      <c r="I314" s="21"/>
      <c r="J314" s="11"/>
      <c r="K314" s="21"/>
      <c r="L314" s="21"/>
      <c r="M314" s="21"/>
    </row>
    <row r="315" ht="15.75" customHeight="1">
      <c r="A315" s="13"/>
      <c r="B315" s="14"/>
      <c r="C315" s="14"/>
      <c r="D315" s="11"/>
      <c r="E315" s="17"/>
      <c r="F315" s="18"/>
      <c r="G315" s="18"/>
      <c r="H315" s="19"/>
      <c r="I315" s="21"/>
      <c r="J315" s="11"/>
      <c r="K315" s="21"/>
      <c r="L315" s="21"/>
      <c r="M315" s="21"/>
    </row>
    <row r="316" ht="15.75" customHeight="1">
      <c r="A316" s="13"/>
      <c r="B316" s="14"/>
      <c r="C316" s="14"/>
      <c r="D316" s="11"/>
      <c r="E316" s="17"/>
      <c r="F316" s="18"/>
      <c r="G316" s="18"/>
      <c r="H316" s="19"/>
      <c r="I316" s="21"/>
      <c r="J316" s="11"/>
      <c r="K316" s="21"/>
      <c r="L316" s="21"/>
      <c r="M316" s="21"/>
    </row>
    <row r="317" ht="15.75" customHeight="1">
      <c r="A317" s="13"/>
      <c r="B317" s="14"/>
      <c r="C317" s="14"/>
      <c r="D317" s="11"/>
      <c r="E317" s="17"/>
      <c r="F317" s="18"/>
      <c r="G317" s="18"/>
      <c r="H317" s="19"/>
      <c r="I317" s="21"/>
      <c r="J317" s="11"/>
      <c r="K317" s="21"/>
      <c r="L317" s="21"/>
      <c r="M317" s="21"/>
    </row>
    <row r="318" ht="15.75" customHeight="1">
      <c r="A318" s="13"/>
      <c r="B318" s="14"/>
      <c r="C318" s="14"/>
      <c r="D318" s="11"/>
      <c r="E318" s="17"/>
      <c r="F318" s="18"/>
      <c r="G318" s="18"/>
      <c r="H318" s="19"/>
      <c r="I318" s="21"/>
      <c r="J318" s="11"/>
      <c r="K318" s="21"/>
      <c r="L318" s="21"/>
      <c r="M318" s="21"/>
    </row>
    <row r="319" ht="15.75" customHeight="1">
      <c r="A319" s="13"/>
      <c r="B319" s="14"/>
      <c r="C319" s="14"/>
      <c r="D319" s="11"/>
      <c r="E319" s="17"/>
      <c r="F319" s="18"/>
      <c r="G319" s="18"/>
      <c r="H319" s="19"/>
      <c r="I319" s="21"/>
      <c r="J319" s="11"/>
      <c r="K319" s="21"/>
      <c r="L319" s="21"/>
      <c r="M319" s="21"/>
    </row>
    <row r="320" ht="15.75" customHeight="1">
      <c r="A320" s="13"/>
      <c r="B320" s="14"/>
      <c r="C320" s="14"/>
      <c r="D320" s="11"/>
      <c r="E320" s="17"/>
      <c r="F320" s="18"/>
      <c r="G320" s="18"/>
      <c r="H320" s="19"/>
      <c r="I320" s="21"/>
      <c r="J320" s="11"/>
      <c r="K320" s="21"/>
      <c r="L320" s="21"/>
      <c r="M320" s="21"/>
    </row>
    <row r="321" ht="15.75" customHeight="1">
      <c r="A321" s="13"/>
      <c r="B321" s="14"/>
      <c r="C321" s="14"/>
      <c r="D321" s="11"/>
      <c r="E321" s="17"/>
      <c r="F321" s="18"/>
      <c r="G321" s="18"/>
      <c r="H321" s="19"/>
      <c r="I321" s="21"/>
      <c r="J321" s="11"/>
      <c r="K321" s="21"/>
      <c r="L321" s="21"/>
      <c r="M321" s="21"/>
    </row>
    <row r="322" ht="15.75" customHeight="1">
      <c r="A322" s="13"/>
      <c r="B322" s="14"/>
      <c r="C322" s="14"/>
      <c r="D322" s="11"/>
      <c r="E322" s="17"/>
      <c r="F322" s="18"/>
      <c r="G322" s="18"/>
      <c r="H322" s="19"/>
      <c r="I322" s="21"/>
      <c r="J322" s="11"/>
      <c r="K322" s="21"/>
      <c r="L322" s="21"/>
      <c r="M322" s="21"/>
    </row>
    <row r="323" ht="15.75" customHeight="1">
      <c r="A323" s="13"/>
      <c r="B323" s="14"/>
      <c r="C323" s="14"/>
      <c r="D323" s="11"/>
      <c r="E323" s="17"/>
      <c r="F323" s="18"/>
      <c r="G323" s="18"/>
      <c r="H323" s="19"/>
      <c r="I323" s="21"/>
      <c r="J323" s="11"/>
      <c r="K323" s="21"/>
      <c r="L323" s="21"/>
      <c r="M323" s="21"/>
    </row>
    <row r="324" ht="15.75" customHeight="1">
      <c r="A324" s="13"/>
      <c r="B324" s="14"/>
      <c r="C324" s="14"/>
      <c r="D324" s="11"/>
      <c r="E324" s="17"/>
      <c r="F324" s="18"/>
      <c r="G324" s="18"/>
      <c r="H324" s="19"/>
      <c r="I324" s="21"/>
      <c r="J324" s="11"/>
      <c r="K324" s="21"/>
      <c r="L324" s="21"/>
      <c r="M324" s="21"/>
    </row>
    <row r="325" ht="15.75" customHeight="1">
      <c r="A325" s="13"/>
      <c r="B325" s="14"/>
      <c r="C325" s="14"/>
      <c r="D325" s="11"/>
      <c r="E325" s="17"/>
      <c r="F325" s="18"/>
      <c r="G325" s="18"/>
      <c r="H325" s="19"/>
      <c r="I325" s="21"/>
      <c r="J325" s="11"/>
      <c r="K325" s="21"/>
      <c r="L325" s="21"/>
      <c r="M325" s="21"/>
    </row>
    <row r="326" ht="15.75" customHeight="1">
      <c r="A326" s="13"/>
      <c r="B326" s="14"/>
      <c r="C326" s="14"/>
      <c r="D326" s="11"/>
      <c r="E326" s="17"/>
      <c r="F326" s="18"/>
      <c r="G326" s="18"/>
      <c r="H326" s="19"/>
      <c r="I326" s="21"/>
      <c r="J326" s="11"/>
      <c r="K326" s="21"/>
      <c r="L326" s="21"/>
      <c r="M326" s="21"/>
    </row>
    <row r="327" ht="15.75" customHeight="1">
      <c r="A327" s="13"/>
      <c r="B327" s="14"/>
      <c r="C327" s="14"/>
      <c r="D327" s="11"/>
      <c r="E327" s="17"/>
      <c r="F327" s="18"/>
      <c r="G327" s="18"/>
      <c r="H327" s="19"/>
      <c r="I327" s="21"/>
      <c r="J327" s="11"/>
      <c r="K327" s="21"/>
      <c r="L327" s="21"/>
      <c r="M327" s="21"/>
    </row>
    <row r="328" ht="15.75" customHeight="1">
      <c r="A328" s="13"/>
      <c r="B328" s="14"/>
      <c r="C328" s="14"/>
      <c r="D328" s="11"/>
      <c r="E328" s="17"/>
      <c r="F328" s="18"/>
      <c r="G328" s="18"/>
      <c r="H328" s="19"/>
      <c r="I328" s="21"/>
      <c r="J328" s="11"/>
      <c r="K328" s="21"/>
      <c r="L328" s="21"/>
      <c r="M328" s="21"/>
    </row>
    <row r="329" ht="15.75" customHeight="1">
      <c r="A329" s="13"/>
      <c r="B329" s="14"/>
      <c r="C329" s="14"/>
      <c r="D329" s="11"/>
      <c r="E329" s="17"/>
      <c r="F329" s="18"/>
      <c r="G329" s="18"/>
      <c r="H329" s="19"/>
      <c r="I329" s="21"/>
      <c r="J329" s="11"/>
      <c r="K329" s="21"/>
      <c r="L329" s="21"/>
      <c r="M329" s="21"/>
    </row>
    <row r="330" ht="15.75" customHeight="1">
      <c r="A330" s="13"/>
      <c r="B330" s="14"/>
      <c r="C330" s="14"/>
      <c r="D330" s="11"/>
      <c r="E330" s="17"/>
      <c r="F330" s="18"/>
      <c r="G330" s="18"/>
      <c r="H330" s="19"/>
      <c r="I330" s="21"/>
      <c r="J330" s="11"/>
      <c r="K330" s="21"/>
      <c r="L330" s="21"/>
      <c r="M330" s="21"/>
    </row>
    <row r="331" ht="15.75" customHeight="1">
      <c r="A331" s="13"/>
      <c r="B331" s="14"/>
      <c r="C331" s="14"/>
      <c r="D331" s="11"/>
      <c r="E331" s="17"/>
      <c r="F331" s="18"/>
      <c r="G331" s="18"/>
      <c r="H331" s="19"/>
      <c r="I331" s="21"/>
      <c r="J331" s="11"/>
      <c r="K331" s="21"/>
      <c r="L331" s="21"/>
      <c r="M331" s="21"/>
    </row>
    <row r="332" ht="15.75" customHeight="1">
      <c r="A332" s="13"/>
      <c r="B332" s="14"/>
      <c r="C332" s="14"/>
      <c r="D332" s="11"/>
      <c r="E332" s="17"/>
      <c r="F332" s="18"/>
      <c r="G332" s="18"/>
      <c r="H332" s="19"/>
      <c r="I332" s="21"/>
      <c r="J332" s="11"/>
      <c r="K332" s="21"/>
      <c r="L332" s="21"/>
      <c r="M332" s="21"/>
    </row>
    <row r="333" ht="15.75" customHeight="1">
      <c r="A333" s="13"/>
      <c r="B333" s="14"/>
      <c r="C333" s="14"/>
      <c r="D333" s="11"/>
      <c r="E333" s="17"/>
      <c r="F333" s="18"/>
      <c r="G333" s="18"/>
      <c r="H333" s="19"/>
      <c r="I333" s="21"/>
      <c r="J333" s="11"/>
      <c r="K333" s="21"/>
      <c r="L333" s="21"/>
      <c r="M333" s="21"/>
    </row>
    <row r="334" ht="15.75" customHeight="1">
      <c r="A334" s="13"/>
      <c r="B334" s="14"/>
      <c r="C334" s="14"/>
      <c r="D334" s="11"/>
      <c r="E334" s="17"/>
      <c r="F334" s="18"/>
      <c r="G334" s="18"/>
      <c r="H334" s="19"/>
      <c r="I334" s="21"/>
      <c r="J334" s="11"/>
      <c r="K334" s="21"/>
      <c r="L334" s="21"/>
      <c r="M334" s="21"/>
    </row>
    <row r="335" ht="15.75" customHeight="1">
      <c r="A335" s="13"/>
      <c r="B335" s="14"/>
      <c r="C335" s="14"/>
      <c r="D335" s="11"/>
      <c r="E335" s="17"/>
      <c r="F335" s="18"/>
      <c r="G335" s="18"/>
      <c r="H335" s="19"/>
      <c r="I335" s="21"/>
      <c r="J335" s="11"/>
      <c r="K335" s="21"/>
      <c r="L335" s="21"/>
      <c r="M335" s="21"/>
    </row>
    <row r="336" ht="15.75" customHeight="1">
      <c r="A336" s="13"/>
      <c r="B336" s="14"/>
      <c r="C336" s="14"/>
      <c r="D336" s="11"/>
      <c r="E336" s="17"/>
      <c r="F336" s="18"/>
      <c r="G336" s="18"/>
      <c r="H336" s="19"/>
      <c r="I336" s="21"/>
      <c r="J336" s="11"/>
      <c r="K336" s="21"/>
      <c r="L336" s="21"/>
      <c r="M336" s="21"/>
    </row>
    <row r="337" ht="15.75" customHeight="1">
      <c r="A337" s="13"/>
      <c r="B337" s="14"/>
      <c r="C337" s="14"/>
      <c r="D337" s="11"/>
      <c r="E337" s="17"/>
      <c r="F337" s="18"/>
      <c r="G337" s="18"/>
      <c r="H337" s="19"/>
      <c r="I337" s="21"/>
      <c r="J337" s="11"/>
      <c r="K337" s="21"/>
      <c r="L337" s="21"/>
      <c r="M337" s="21"/>
    </row>
    <row r="338" ht="15.75" customHeight="1">
      <c r="A338" s="13"/>
      <c r="B338" s="14"/>
      <c r="C338" s="14"/>
      <c r="D338" s="11"/>
      <c r="E338" s="17"/>
      <c r="F338" s="18"/>
      <c r="G338" s="18"/>
      <c r="H338" s="19"/>
      <c r="I338" s="21"/>
      <c r="J338" s="11"/>
      <c r="K338" s="21"/>
      <c r="L338" s="21"/>
      <c r="M338" s="21"/>
    </row>
    <row r="339" ht="15.75" customHeight="1">
      <c r="A339" s="13"/>
      <c r="B339" s="14"/>
      <c r="C339" s="14"/>
      <c r="D339" s="11"/>
      <c r="E339" s="17"/>
      <c r="F339" s="18"/>
      <c r="G339" s="18"/>
      <c r="H339" s="19"/>
      <c r="I339" s="21"/>
      <c r="J339" s="11"/>
      <c r="K339" s="21"/>
      <c r="L339" s="21"/>
      <c r="M339" s="21"/>
    </row>
    <row r="340" ht="15.75" customHeight="1">
      <c r="A340" s="13"/>
      <c r="B340" s="14"/>
      <c r="C340" s="14"/>
      <c r="D340" s="11"/>
      <c r="E340" s="17"/>
      <c r="F340" s="18"/>
      <c r="G340" s="18"/>
      <c r="H340" s="19"/>
      <c r="I340" s="21"/>
      <c r="J340" s="11"/>
      <c r="K340" s="21"/>
      <c r="L340" s="21"/>
      <c r="M340" s="21"/>
    </row>
    <row r="341" ht="15.75" customHeight="1">
      <c r="A341" s="13"/>
      <c r="B341" s="14"/>
      <c r="C341" s="14"/>
      <c r="D341" s="11"/>
      <c r="E341" s="17"/>
      <c r="F341" s="18"/>
      <c r="G341" s="18"/>
      <c r="H341" s="19"/>
      <c r="I341" s="21"/>
      <c r="J341" s="11"/>
      <c r="K341" s="21"/>
      <c r="L341" s="21"/>
      <c r="M341" s="21"/>
    </row>
    <row r="342" ht="15.75" customHeight="1">
      <c r="A342" s="13"/>
      <c r="B342" s="14"/>
      <c r="C342" s="14"/>
      <c r="D342" s="11"/>
      <c r="E342" s="17"/>
      <c r="F342" s="18"/>
      <c r="G342" s="18"/>
      <c r="H342" s="19"/>
      <c r="I342" s="21"/>
      <c r="J342" s="11"/>
      <c r="K342" s="21"/>
      <c r="L342" s="21"/>
      <c r="M342" s="21"/>
    </row>
    <row r="343" ht="15.75" customHeight="1">
      <c r="A343" s="13"/>
      <c r="B343" s="14"/>
      <c r="C343" s="14"/>
      <c r="D343" s="11"/>
      <c r="E343" s="17"/>
      <c r="F343" s="18"/>
      <c r="G343" s="18"/>
      <c r="H343" s="19"/>
      <c r="I343" s="21"/>
      <c r="J343" s="11"/>
      <c r="K343" s="21"/>
      <c r="L343" s="21"/>
      <c r="M343" s="21"/>
    </row>
    <row r="344" ht="15.75" customHeight="1">
      <c r="A344" s="13"/>
      <c r="B344" s="14"/>
      <c r="C344" s="14"/>
      <c r="D344" s="11"/>
      <c r="E344" s="17"/>
      <c r="F344" s="18"/>
      <c r="G344" s="18"/>
      <c r="H344" s="19"/>
      <c r="I344" s="21"/>
      <c r="J344" s="11"/>
      <c r="K344" s="21"/>
      <c r="L344" s="21"/>
      <c r="M344" s="21"/>
    </row>
    <row r="345" ht="15.75" customHeight="1">
      <c r="A345" s="13"/>
      <c r="B345" s="14"/>
      <c r="C345" s="14"/>
      <c r="D345" s="11"/>
      <c r="E345" s="17"/>
      <c r="F345" s="18"/>
      <c r="G345" s="18"/>
      <c r="H345" s="19"/>
      <c r="I345" s="21"/>
      <c r="J345" s="11"/>
      <c r="K345" s="21"/>
      <c r="L345" s="21"/>
      <c r="M345" s="21"/>
    </row>
    <row r="346" ht="15.75" customHeight="1">
      <c r="A346" s="13"/>
      <c r="B346" s="14"/>
      <c r="C346" s="14"/>
      <c r="D346" s="11"/>
      <c r="E346" s="17"/>
      <c r="F346" s="18"/>
      <c r="G346" s="18"/>
      <c r="H346" s="19"/>
      <c r="I346" s="21"/>
      <c r="J346" s="11"/>
      <c r="K346" s="21"/>
      <c r="L346" s="21"/>
      <c r="M346" s="21"/>
    </row>
    <row r="347" ht="15.75" customHeight="1">
      <c r="A347" s="13"/>
      <c r="B347" s="14"/>
      <c r="C347" s="14"/>
      <c r="D347" s="11"/>
      <c r="E347" s="17"/>
      <c r="F347" s="18"/>
      <c r="G347" s="18"/>
      <c r="H347" s="19"/>
      <c r="I347" s="21"/>
      <c r="J347" s="11"/>
      <c r="K347" s="21"/>
      <c r="L347" s="21"/>
      <c r="M347" s="21"/>
    </row>
    <row r="348" ht="15.75" customHeight="1">
      <c r="A348" s="13"/>
      <c r="B348" s="14"/>
      <c r="C348" s="14"/>
      <c r="D348" s="11"/>
      <c r="E348" s="17"/>
      <c r="F348" s="18"/>
      <c r="G348" s="18"/>
      <c r="H348" s="19"/>
      <c r="I348" s="21"/>
      <c r="J348" s="11"/>
      <c r="K348" s="21"/>
      <c r="L348" s="21"/>
      <c r="M348" s="21"/>
    </row>
    <row r="349" ht="15.75" customHeight="1">
      <c r="A349" s="13"/>
      <c r="B349" s="14"/>
      <c r="C349" s="14"/>
      <c r="D349" s="11"/>
      <c r="E349" s="17"/>
      <c r="F349" s="18"/>
      <c r="G349" s="18"/>
      <c r="H349" s="19"/>
      <c r="I349" s="21"/>
      <c r="J349" s="11"/>
      <c r="K349" s="21"/>
      <c r="L349" s="21"/>
      <c r="M349" s="21"/>
    </row>
    <row r="350" ht="15.75" customHeight="1">
      <c r="A350" s="13"/>
      <c r="B350" s="14"/>
      <c r="C350" s="14"/>
      <c r="D350" s="11"/>
      <c r="E350" s="17"/>
      <c r="F350" s="18"/>
      <c r="G350" s="18"/>
      <c r="H350" s="19"/>
      <c r="I350" s="21"/>
      <c r="J350" s="11"/>
      <c r="K350" s="21"/>
      <c r="L350" s="21"/>
      <c r="M350" s="21"/>
    </row>
    <row r="351" ht="15.75" customHeight="1">
      <c r="A351" s="13"/>
      <c r="B351" s="14"/>
      <c r="C351" s="14"/>
      <c r="D351" s="11"/>
      <c r="E351" s="17"/>
      <c r="F351" s="18"/>
      <c r="G351" s="18"/>
      <c r="H351" s="19"/>
      <c r="I351" s="21"/>
      <c r="J351" s="11"/>
      <c r="K351" s="21"/>
      <c r="L351" s="21"/>
      <c r="M351" s="21"/>
    </row>
    <row r="352" ht="15.75" customHeight="1">
      <c r="A352" s="13"/>
      <c r="B352" s="14"/>
      <c r="C352" s="14"/>
      <c r="D352" s="11"/>
      <c r="E352" s="17"/>
      <c r="F352" s="18"/>
      <c r="G352" s="18"/>
      <c r="H352" s="19"/>
      <c r="I352" s="21"/>
      <c r="J352" s="11"/>
      <c r="K352" s="21"/>
      <c r="L352" s="21"/>
      <c r="M352" s="21"/>
    </row>
    <row r="353" ht="15.75" customHeight="1">
      <c r="A353" s="13"/>
      <c r="B353" s="14"/>
      <c r="C353" s="14"/>
      <c r="D353" s="11"/>
      <c r="E353" s="17"/>
      <c r="F353" s="18"/>
      <c r="G353" s="18"/>
      <c r="H353" s="19"/>
      <c r="I353" s="21"/>
      <c r="J353" s="11"/>
      <c r="K353" s="21"/>
      <c r="L353" s="21"/>
      <c r="M353" s="21"/>
    </row>
    <row r="354" ht="15.75" customHeight="1">
      <c r="A354" s="13"/>
      <c r="B354" s="14"/>
      <c r="C354" s="14"/>
      <c r="D354" s="11"/>
      <c r="E354" s="17"/>
      <c r="F354" s="18"/>
      <c r="G354" s="18"/>
      <c r="H354" s="19"/>
      <c r="I354" s="21"/>
      <c r="J354" s="11"/>
      <c r="K354" s="21"/>
      <c r="L354" s="21"/>
      <c r="M354" s="21"/>
    </row>
  </sheetData>
  <dataValidations>
    <dataValidation type="list" allowBlank="1" showDropDown="1" showErrorMessage="1" sqref="F2:F354">
      <formula1>'Org Unit Path List'!$B$2:$B$5</formula1>
    </dataValidation>
    <dataValidation type="list" allowBlank="1" showDropDown="1" showErrorMessage="1" sqref="A2:A354">
      <formula1>'Org Unit Path List'!$G$2:$G$3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1.5"/>
    <col customWidth="1" min="3" max="3" width="11.25"/>
    <col customWidth="1" min="4" max="4" width="24.13"/>
    <col customWidth="1" min="5" max="5" width="20.25"/>
    <col customWidth="1" min="6" max="6" width="11.75"/>
    <col customWidth="1" min="7" max="7" width="15.0"/>
    <col customWidth="1" min="8" max="8" width="17.38"/>
    <col customWidth="1" min="9" max="9" width="17.88"/>
    <col customWidth="1" min="10" max="10" width="13.88"/>
  </cols>
  <sheetData>
    <row r="1" ht="15.75" customHeight="1">
      <c r="A1" s="22" t="s">
        <v>24</v>
      </c>
      <c r="B1" s="23" t="s">
        <v>3</v>
      </c>
      <c r="C1" s="23" t="s">
        <v>4</v>
      </c>
      <c r="D1" s="22" t="s">
        <v>5</v>
      </c>
      <c r="E1" s="24" t="s">
        <v>6</v>
      </c>
      <c r="F1" s="22" t="s">
        <v>10</v>
      </c>
      <c r="G1" s="24" t="s">
        <v>11</v>
      </c>
      <c r="H1" s="24" t="s">
        <v>12</v>
      </c>
      <c r="I1" s="23" t="s">
        <v>25</v>
      </c>
      <c r="J1" s="23" t="s">
        <v>26</v>
      </c>
    </row>
    <row r="2" ht="15.75" customHeight="1">
      <c r="A2" s="25" t="s">
        <v>27</v>
      </c>
      <c r="B2" s="26" t="s">
        <v>28</v>
      </c>
      <c r="C2" s="26" t="s">
        <v>29</v>
      </c>
      <c r="D2" s="26" t="s">
        <v>30</v>
      </c>
      <c r="E2" s="27" t="str">
        <f t="shared" ref="E2:E5" si="1">rpassword(16)</f>
        <v>MnZFp2HLic8BZf@e</v>
      </c>
      <c r="F2" s="28" t="s">
        <v>19</v>
      </c>
      <c r="G2" s="29" t="s">
        <v>31</v>
      </c>
      <c r="H2" s="30"/>
      <c r="I2" s="26"/>
      <c r="J2" s="26"/>
    </row>
    <row r="3" ht="15.75" customHeight="1">
      <c r="A3" s="25" t="s">
        <v>27</v>
      </c>
      <c r="B3" s="26" t="s">
        <v>28</v>
      </c>
      <c r="C3" s="26" t="s">
        <v>32</v>
      </c>
      <c r="D3" s="26" t="s">
        <v>33</v>
      </c>
      <c r="E3" s="27" t="str">
        <f t="shared" si="1"/>
        <v>Tl$#348GtzyU9Qx3</v>
      </c>
      <c r="F3" s="28" t="s">
        <v>19</v>
      </c>
      <c r="G3" s="29" t="s">
        <v>31</v>
      </c>
      <c r="H3" s="30"/>
      <c r="I3" s="26"/>
      <c r="J3" s="26"/>
    </row>
    <row r="4" ht="15.75" customHeight="1">
      <c r="A4" s="25" t="s">
        <v>27</v>
      </c>
      <c r="B4" s="26" t="s">
        <v>28</v>
      </c>
      <c r="C4" s="26" t="s">
        <v>34</v>
      </c>
      <c r="D4" s="26" t="s">
        <v>35</v>
      </c>
      <c r="E4" s="27" t="str">
        <f t="shared" si="1"/>
        <v>SbV5MrY#QtoKxIYL</v>
      </c>
      <c r="F4" s="28" t="s">
        <v>19</v>
      </c>
      <c r="G4" s="29" t="s">
        <v>31</v>
      </c>
      <c r="H4" s="30"/>
      <c r="I4" s="26"/>
      <c r="J4" s="26"/>
    </row>
    <row r="5" ht="15.75" customHeight="1">
      <c r="A5" s="25" t="s">
        <v>27</v>
      </c>
      <c r="B5" s="26" t="s">
        <v>28</v>
      </c>
      <c r="C5" s="26" t="s">
        <v>36</v>
      </c>
      <c r="D5" s="26" t="s">
        <v>37</v>
      </c>
      <c r="E5" s="27" t="str">
        <f t="shared" si="1"/>
        <v>87Afmr4Jfr2E}si/</v>
      </c>
      <c r="F5" s="28" t="s">
        <v>19</v>
      </c>
      <c r="G5" s="29" t="s">
        <v>31</v>
      </c>
      <c r="H5" s="30"/>
      <c r="I5" s="26"/>
      <c r="J5" s="26"/>
    </row>
    <row r="6" ht="15.75" customHeight="1">
      <c r="A6" s="31"/>
      <c r="B6" s="32"/>
      <c r="C6" s="32"/>
      <c r="D6" s="32"/>
      <c r="E6" s="33"/>
      <c r="F6" s="34"/>
      <c r="G6" s="30"/>
      <c r="H6" s="30"/>
      <c r="I6" s="26"/>
      <c r="J6" s="26"/>
    </row>
    <row r="7" ht="15.75" customHeight="1">
      <c r="A7" s="31"/>
      <c r="B7" s="32"/>
      <c r="C7" s="32"/>
      <c r="D7" s="32"/>
      <c r="E7" s="33"/>
      <c r="F7" s="34"/>
      <c r="G7" s="30"/>
      <c r="H7" s="30"/>
      <c r="I7" s="26"/>
      <c r="J7" s="26"/>
    </row>
    <row r="8" ht="15.75" customHeight="1">
      <c r="A8" s="35"/>
      <c r="B8" s="7" t="str">
        <f>IFERROR(LEFT(#REF!,SEARCH(" ",#REF!)-1),#REF!)</f>
        <v>#REF!</v>
      </c>
      <c r="C8" s="7" t="str">
        <f>IF(ISBLANK(#REF!), "", IFERROR(RIGHT(#REF!,LEN(#REF!)-SEARCH(" ",#REF!,1)),"."))</f>
        <v>.</v>
      </c>
      <c r="D8" s="7" t="str">
        <f>IF(#REF!&lt;&gt;"", SUBSTITUTE(LOWER(#REF!), " ", ".") &amp; "@zupee.in", "")</f>
        <v>#REF!</v>
      </c>
      <c r="E8" s="36" t="str">
        <f>IF(D8&lt;&gt;"",rpassword(16),"")</f>
        <v>#REF!</v>
      </c>
      <c r="F8" s="37"/>
      <c r="I8" s="38"/>
      <c r="J8" s="38"/>
    </row>
    <row r="9" ht="15.75" customHeight="1">
      <c r="A9" s="34"/>
      <c r="B9" s="32"/>
      <c r="C9" s="32"/>
      <c r="D9" s="32"/>
      <c r="E9" s="33"/>
      <c r="F9" s="34"/>
      <c r="G9" s="30"/>
      <c r="H9" s="30"/>
      <c r="I9" s="30"/>
      <c r="J9" s="30"/>
    </row>
    <row r="10" ht="15.75" customHeight="1">
      <c r="A10" s="34"/>
      <c r="B10" s="32"/>
      <c r="C10" s="32"/>
      <c r="D10" s="32"/>
      <c r="E10" s="33"/>
      <c r="F10" s="34"/>
      <c r="G10" s="30"/>
      <c r="H10" s="30"/>
      <c r="I10" s="30"/>
      <c r="J10" s="30"/>
    </row>
    <row r="11" ht="15.75" customHeight="1">
      <c r="A11" s="34"/>
      <c r="B11" s="32"/>
      <c r="C11" s="32"/>
      <c r="D11" s="32"/>
      <c r="E11" s="33"/>
      <c r="F11" s="34"/>
      <c r="G11" s="30"/>
      <c r="H11" s="30"/>
      <c r="I11" s="30"/>
      <c r="J11" s="30"/>
    </row>
    <row r="12" ht="15.75" customHeight="1">
      <c r="A12" s="34"/>
      <c r="B12" s="32"/>
      <c r="C12" s="32"/>
      <c r="D12" s="32"/>
      <c r="E12" s="33"/>
      <c r="F12" s="34"/>
      <c r="G12" s="30"/>
      <c r="H12" s="30"/>
      <c r="I12" s="30"/>
      <c r="J12" s="30"/>
    </row>
    <row r="13" ht="15.75" customHeight="1">
      <c r="A13" s="34"/>
      <c r="B13" s="32"/>
      <c r="C13" s="32"/>
      <c r="D13" s="32"/>
      <c r="E13" s="33"/>
      <c r="F13" s="34"/>
      <c r="G13" s="30"/>
      <c r="H13" s="30"/>
      <c r="I13" s="30"/>
      <c r="J13" s="30"/>
    </row>
    <row r="14" ht="15.75" customHeight="1">
      <c r="A14" s="34"/>
      <c r="B14" s="32"/>
      <c r="C14" s="32"/>
      <c r="D14" s="32"/>
      <c r="E14" s="33"/>
      <c r="F14" s="34"/>
      <c r="G14" s="30"/>
      <c r="H14" s="30"/>
      <c r="I14" s="30"/>
      <c r="J14" s="30"/>
    </row>
    <row r="15" ht="15.75" customHeight="1">
      <c r="A15" s="34"/>
      <c r="B15" s="32"/>
      <c r="C15" s="32"/>
      <c r="D15" s="32"/>
      <c r="E15" s="33"/>
      <c r="F15" s="34"/>
      <c r="G15" s="30"/>
      <c r="H15" s="30"/>
      <c r="I15" s="30"/>
      <c r="J15" s="30"/>
    </row>
    <row r="16" ht="15.75" customHeight="1">
      <c r="A16" s="34"/>
      <c r="B16" s="32"/>
      <c r="C16" s="32"/>
      <c r="D16" s="32"/>
      <c r="E16" s="33"/>
      <c r="F16" s="34"/>
      <c r="G16" s="30"/>
      <c r="H16" s="30"/>
      <c r="I16" s="30"/>
      <c r="J16" s="30"/>
    </row>
    <row r="17" ht="15.75" customHeight="1">
      <c r="A17" s="34"/>
      <c r="B17" s="32"/>
      <c r="C17" s="32"/>
      <c r="D17" s="32"/>
      <c r="E17" s="33"/>
      <c r="F17" s="34"/>
      <c r="G17" s="30"/>
      <c r="H17" s="30"/>
      <c r="I17" s="30"/>
      <c r="J17" s="30"/>
    </row>
    <row r="18" ht="15.75" customHeight="1">
      <c r="A18" s="34"/>
      <c r="B18" s="32"/>
      <c r="C18" s="32"/>
      <c r="D18" s="32"/>
      <c r="E18" s="33"/>
      <c r="F18" s="34"/>
      <c r="G18" s="30"/>
      <c r="H18" s="30"/>
      <c r="I18" s="30"/>
      <c r="J18" s="30"/>
    </row>
    <row r="19" ht="15.75" customHeight="1">
      <c r="A19" s="34"/>
      <c r="B19" s="32"/>
      <c r="C19" s="32"/>
      <c r="D19" s="32"/>
      <c r="E19" s="33"/>
      <c r="F19" s="34"/>
      <c r="G19" s="30"/>
      <c r="H19" s="30"/>
      <c r="I19" s="30"/>
      <c r="J19" s="30"/>
    </row>
    <row r="20" ht="15.75" customHeight="1">
      <c r="A20" s="34"/>
      <c r="B20" s="32"/>
      <c r="C20" s="32"/>
      <c r="D20" s="32"/>
      <c r="E20" s="33"/>
      <c r="F20" s="34"/>
      <c r="G20" s="30"/>
      <c r="H20" s="30"/>
      <c r="I20" s="30"/>
      <c r="J20" s="30"/>
    </row>
    <row r="21" ht="15.75" customHeight="1">
      <c r="A21" s="34"/>
      <c r="B21" s="32"/>
      <c r="C21" s="32"/>
      <c r="D21" s="32"/>
      <c r="E21" s="33"/>
      <c r="F21" s="34"/>
      <c r="G21" s="30"/>
      <c r="H21" s="30"/>
      <c r="I21" s="30"/>
      <c r="J21" s="30"/>
    </row>
    <row r="22" ht="15.75" customHeight="1">
      <c r="A22" s="34"/>
      <c r="B22" s="32"/>
      <c r="C22" s="32"/>
      <c r="D22" s="32"/>
      <c r="E22" s="33"/>
      <c r="F22" s="34"/>
      <c r="G22" s="30"/>
      <c r="H22" s="30"/>
      <c r="I22" s="30"/>
      <c r="J22" s="30"/>
    </row>
    <row r="23" ht="15.75" customHeight="1">
      <c r="A23" s="34"/>
      <c r="B23" s="32"/>
      <c r="C23" s="32"/>
      <c r="D23" s="32"/>
      <c r="E23" s="33"/>
      <c r="F23" s="34"/>
      <c r="G23" s="30"/>
      <c r="H23" s="30"/>
      <c r="I23" s="30"/>
      <c r="J23" s="30"/>
    </row>
    <row r="24" ht="15.75" customHeight="1">
      <c r="A24" s="34"/>
      <c r="B24" s="32"/>
      <c r="C24" s="32"/>
      <c r="D24" s="32"/>
      <c r="E24" s="33"/>
      <c r="F24" s="34"/>
      <c r="G24" s="30"/>
      <c r="H24" s="30"/>
      <c r="I24" s="30"/>
      <c r="J24" s="30"/>
    </row>
    <row r="25" ht="15.75" customHeight="1">
      <c r="A25" s="34"/>
      <c r="B25" s="32"/>
      <c r="C25" s="32"/>
      <c r="D25" s="32"/>
      <c r="E25" s="33"/>
      <c r="F25" s="34"/>
      <c r="G25" s="30"/>
      <c r="H25" s="30"/>
      <c r="I25" s="30"/>
      <c r="J25" s="30"/>
    </row>
    <row r="26" ht="15.75" customHeight="1">
      <c r="A26" s="34"/>
      <c r="B26" s="32"/>
      <c r="C26" s="32"/>
      <c r="D26" s="32"/>
      <c r="E26" s="33"/>
      <c r="F26" s="34"/>
      <c r="G26" s="30"/>
      <c r="H26" s="30"/>
      <c r="I26" s="30"/>
      <c r="J26" s="30"/>
    </row>
    <row r="27" ht="15.75" customHeight="1">
      <c r="A27" s="34"/>
      <c r="B27" s="32"/>
      <c r="C27" s="32"/>
      <c r="D27" s="32"/>
      <c r="E27" s="33"/>
      <c r="F27" s="34"/>
      <c r="G27" s="30"/>
      <c r="H27" s="30"/>
      <c r="I27" s="30"/>
      <c r="J27" s="30"/>
    </row>
    <row r="28" ht="15.75" customHeight="1">
      <c r="A28" s="30"/>
      <c r="B28" s="30"/>
      <c r="C28" s="30"/>
      <c r="D28" s="32"/>
      <c r="E28" s="30"/>
      <c r="F28" s="30"/>
      <c r="G28" s="30"/>
      <c r="H28" s="30"/>
      <c r="I28" s="30"/>
      <c r="J28" s="30"/>
    </row>
    <row r="29" ht="15.75" customHeight="1">
      <c r="A29" s="30"/>
      <c r="B29" s="30"/>
      <c r="C29" s="30"/>
      <c r="D29" s="32"/>
      <c r="E29" s="30"/>
      <c r="F29" s="30"/>
      <c r="G29" s="30"/>
      <c r="H29" s="30"/>
      <c r="I29" s="30"/>
      <c r="J29" s="30"/>
    </row>
    <row r="30" ht="15.75" customHeight="1">
      <c r="A30" s="30"/>
      <c r="B30" s="30"/>
      <c r="C30" s="30"/>
      <c r="D30" s="32"/>
      <c r="E30" s="30"/>
      <c r="F30" s="30"/>
      <c r="G30" s="30"/>
      <c r="H30" s="30"/>
      <c r="I30" s="30"/>
      <c r="J30" s="30"/>
    </row>
  </sheetData>
  <dataValidations>
    <dataValidation type="list" allowBlank="1" showDropDown="1" showErrorMessage="1" sqref="F2:F27">
      <formula1>'Org Unit Path List'!$B$2:$B$5</formula1>
    </dataValidation>
    <dataValidation type="list" allowBlank="1" showDropDown="1" showErrorMessage="1" sqref="A2:A27">
      <formula1>'Org Unit Path List'!$G$2:$G$3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33.0"/>
    <col customWidth="1" min="3" max="3" width="8.88"/>
    <col customWidth="1" min="4" max="4" width="29.13"/>
  </cols>
  <sheetData>
    <row r="1">
      <c r="A1" s="39" t="s">
        <v>9</v>
      </c>
      <c r="B1" s="39" t="s">
        <v>5</v>
      </c>
      <c r="C1" s="39" t="s">
        <v>16</v>
      </c>
      <c r="D1" s="39" t="s">
        <v>17</v>
      </c>
    </row>
    <row r="2">
      <c r="A2" s="40" t="s">
        <v>38</v>
      </c>
      <c r="B2" s="40" t="s">
        <v>39</v>
      </c>
      <c r="C2" s="40" t="s">
        <v>40</v>
      </c>
      <c r="D2" s="40" t="s">
        <v>41</v>
      </c>
    </row>
    <row r="3">
      <c r="A3" s="40" t="s">
        <v>38</v>
      </c>
      <c r="B3" s="40" t="s">
        <v>42</v>
      </c>
      <c r="C3" s="40" t="s">
        <v>40</v>
      </c>
      <c r="D3" s="40" t="s">
        <v>41</v>
      </c>
    </row>
    <row r="4">
      <c r="A4" s="40"/>
      <c r="B4" s="40"/>
      <c r="C4" s="40"/>
      <c r="D4" s="40"/>
    </row>
    <row r="5">
      <c r="A5" s="40"/>
      <c r="B5" s="40"/>
      <c r="C5" s="40"/>
      <c r="D5" s="40"/>
    </row>
    <row r="6">
      <c r="A6" s="40"/>
      <c r="B6" s="40"/>
      <c r="C6" s="40"/>
      <c r="D6" s="40"/>
    </row>
    <row r="7">
      <c r="A7" s="40"/>
      <c r="B7" s="40"/>
      <c r="C7" s="40"/>
      <c r="D7" s="40"/>
    </row>
    <row r="8">
      <c r="A8" s="40"/>
      <c r="B8" s="40"/>
      <c r="C8" s="40"/>
      <c r="D8" s="40"/>
    </row>
    <row r="9">
      <c r="A9" s="40"/>
      <c r="B9" s="40"/>
      <c r="C9" s="40"/>
      <c r="D9" s="40"/>
    </row>
    <row r="10">
      <c r="A10" s="40"/>
      <c r="B10" s="40"/>
      <c r="C10" s="40"/>
      <c r="D10" s="40"/>
    </row>
    <row r="11">
      <c r="A11" s="40"/>
      <c r="B11" s="40"/>
      <c r="C11" s="40"/>
      <c r="D11" s="40"/>
    </row>
    <row r="12">
      <c r="A12" s="40"/>
      <c r="B12" s="40"/>
      <c r="C12" s="40"/>
      <c r="D12" s="40"/>
    </row>
    <row r="13">
      <c r="A13" s="40"/>
      <c r="B13" s="40"/>
      <c r="C13" s="40"/>
      <c r="D13" s="40"/>
    </row>
    <row r="14">
      <c r="A14" s="40"/>
      <c r="B14" s="40"/>
      <c r="C14" s="40"/>
      <c r="D14" s="40"/>
    </row>
    <row r="15">
      <c r="A15" s="40"/>
      <c r="B15" s="40"/>
      <c r="C15" s="40"/>
      <c r="D15" s="40"/>
    </row>
    <row r="16">
      <c r="A16" s="40"/>
      <c r="B16" s="40"/>
      <c r="C16" s="40"/>
      <c r="D16" s="40"/>
    </row>
    <row r="17">
      <c r="A17" s="40"/>
      <c r="B17" s="40"/>
      <c r="C17" s="40"/>
      <c r="D17" s="40"/>
    </row>
    <row r="18">
      <c r="A18" s="40"/>
      <c r="B18" s="40"/>
      <c r="C18" s="40"/>
      <c r="D18" s="40"/>
    </row>
    <row r="19">
      <c r="A19" s="40"/>
      <c r="B19" s="40"/>
      <c r="C19" s="40"/>
      <c r="D19" s="40"/>
    </row>
    <row r="20">
      <c r="A20" s="40"/>
      <c r="B20" s="40"/>
      <c r="C20" s="40"/>
      <c r="D20" s="40"/>
    </row>
    <row r="21">
      <c r="A21" s="40"/>
      <c r="B21" s="40"/>
      <c r="C21" s="40"/>
      <c r="D21" s="40"/>
    </row>
    <row r="22">
      <c r="A22" s="40"/>
      <c r="B22" s="40"/>
      <c r="C22" s="40"/>
      <c r="D22" s="40"/>
    </row>
    <row r="23">
      <c r="A23" s="40"/>
      <c r="B23" s="40"/>
      <c r="C23" s="40"/>
      <c r="D23" s="40"/>
    </row>
    <row r="24">
      <c r="A24" s="40"/>
      <c r="B24" s="40"/>
      <c r="C24" s="40"/>
      <c r="D24" s="40"/>
    </row>
    <row r="25">
      <c r="A25" s="40"/>
      <c r="B25" s="40"/>
      <c r="C25" s="40"/>
      <c r="D25" s="40"/>
    </row>
    <row r="26">
      <c r="A26" s="40"/>
      <c r="B26" s="40"/>
      <c r="C26" s="40"/>
      <c r="D26" s="40"/>
    </row>
    <row r="27">
      <c r="A27" s="40"/>
      <c r="B27" s="40"/>
      <c r="C27" s="40"/>
      <c r="D27" s="40"/>
    </row>
    <row r="28">
      <c r="A28" s="40"/>
      <c r="B28" s="40"/>
      <c r="C28" s="40"/>
      <c r="D28" s="40"/>
    </row>
    <row r="29">
      <c r="A29" s="40"/>
      <c r="B29" s="40"/>
      <c r="C29" s="40"/>
      <c r="D29" s="40"/>
    </row>
    <row r="30">
      <c r="A30" s="40"/>
      <c r="B30" s="40"/>
      <c r="C30" s="40"/>
      <c r="D30" s="40"/>
    </row>
    <row r="31">
      <c r="A31" s="40"/>
      <c r="B31" s="40"/>
      <c r="C31" s="40"/>
      <c r="D31" s="40"/>
    </row>
    <row r="32">
      <c r="A32" s="40"/>
      <c r="B32" s="40"/>
      <c r="C32" s="40"/>
      <c r="D32" s="40"/>
    </row>
    <row r="33">
      <c r="A33" s="40"/>
      <c r="B33" s="40"/>
      <c r="C33" s="40"/>
      <c r="D33" s="40"/>
    </row>
    <row r="34">
      <c r="A34" s="40"/>
      <c r="B34" s="40"/>
      <c r="C34" s="40"/>
      <c r="D34" s="40"/>
    </row>
    <row r="35">
      <c r="A35" s="40"/>
      <c r="B35" s="40"/>
      <c r="C35" s="40"/>
      <c r="D35" s="40"/>
    </row>
    <row r="36">
      <c r="A36" s="40"/>
      <c r="B36" s="40"/>
      <c r="C36" s="40"/>
      <c r="D36" s="40"/>
    </row>
    <row r="37">
      <c r="A37" s="40"/>
      <c r="B37" s="40"/>
      <c r="C37" s="40"/>
      <c r="D37" s="40"/>
    </row>
    <row r="38">
      <c r="A38" s="40"/>
      <c r="B38" s="40"/>
      <c r="C38" s="40"/>
      <c r="D38" s="40"/>
    </row>
    <row r="39">
      <c r="A39" s="40"/>
      <c r="B39" s="40"/>
      <c r="C39" s="40"/>
      <c r="D39" s="40"/>
    </row>
    <row r="40">
      <c r="A40" s="40"/>
      <c r="B40" s="40"/>
      <c r="C40" s="40"/>
      <c r="D40" s="40"/>
    </row>
    <row r="41">
      <c r="A41" s="40"/>
      <c r="B41" s="40"/>
      <c r="C41" s="40"/>
      <c r="D41" s="40"/>
    </row>
    <row r="42">
      <c r="A42" s="40"/>
      <c r="B42" s="40"/>
      <c r="C42" s="40"/>
      <c r="D42" s="40"/>
    </row>
    <row r="43">
      <c r="A43" s="40"/>
      <c r="B43" s="40"/>
      <c r="C43" s="40"/>
      <c r="D43" s="40"/>
    </row>
    <row r="44">
      <c r="A44" s="40"/>
      <c r="B44" s="40"/>
      <c r="C44" s="40"/>
      <c r="D44" s="40"/>
    </row>
    <row r="45">
      <c r="A45" s="40"/>
      <c r="B45" s="40"/>
      <c r="C45" s="40"/>
      <c r="D45" s="40"/>
    </row>
    <row r="46">
      <c r="A46" s="40"/>
      <c r="B46" s="40"/>
      <c r="C46" s="40"/>
      <c r="D46" s="40"/>
    </row>
    <row r="47">
      <c r="A47" s="40"/>
      <c r="B47" s="40"/>
      <c r="C47" s="40"/>
      <c r="D47" s="40"/>
    </row>
    <row r="48">
      <c r="A48" s="40"/>
      <c r="B48" s="40"/>
      <c r="C48" s="40"/>
      <c r="D48" s="40"/>
    </row>
    <row r="49">
      <c r="A49" s="40"/>
      <c r="B49" s="40"/>
      <c r="C49" s="40"/>
      <c r="D49" s="40"/>
    </row>
    <row r="50">
      <c r="A50" s="40"/>
      <c r="B50" s="40"/>
      <c r="C50" s="40"/>
      <c r="D50" s="40"/>
    </row>
    <row r="51">
      <c r="A51" s="40"/>
      <c r="B51" s="40"/>
      <c r="C51" s="40"/>
      <c r="D51" s="40"/>
    </row>
    <row r="52">
      <c r="A52" s="40"/>
      <c r="B52" s="40"/>
      <c r="C52" s="40"/>
      <c r="D52" s="40"/>
    </row>
    <row r="53">
      <c r="A53" s="40"/>
      <c r="B53" s="40"/>
      <c r="C53" s="40"/>
      <c r="D53" s="40"/>
    </row>
    <row r="54">
      <c r="A54" s="40"/>
      <c r="B54" s="40"/>
      <c r="C54" s="40"/>
      <c r="D54" s="40"/>
    </row>
    <row r="55">
      <c r="A55" s="40"/>
      <c r="B55" s="40"/>
      <c r="C55" s="40"/>
      <c r="D55" s="40"/>
    </row>
    <row r="56">
      <c r="A56" s="40"/>
      <c r="B56" s="40"/>
      <c r="C56" s="40"/>
      <c r="D56" s="40"/>
    </row>
    <row r="57">
      <c r="A57" s="40"/>
      <c r="B57" s="40"/>
      <c r="C57" s="40"/>
      <c r="D57" s="40"/>
    </row>
    <row r="58">
      <c r="A58" s="40"/>
      <c r="B58" s="40"/>
      <c r="C58" s="40"/>
      <c r="D58" s="40"/>
    </row>
    <row r="59">
      <c r="A59" s="40"/>
      <c r="B59" s="40"/>
      <c r="C59" s="40"/>
      <c r="D59" s="40"/>
    </row>
    <row r="60">
      <c r="A60" s="40"/>
      <c r="B60" s="40"/>
      <c r="C60" s="40"/>
      <c r="D60" s="40"/>
    </row>
    <row r="61">
      <c r="A61" s="40"/>
      <c r="B61" s="40"/>
      <c r="C61" s="40"/>
      <c r="D61" s="40"/>
    </row>
    <row r="62">
      <c r="A62" s="40"/>
      <c r="B62" s="40"/>
      <c r="C62" s="40"/>
      <c r="D62" s="40"/>
    </row>
    <row r="63">
      <c r="A63" s="40"/>
      <c r="B63" s="40"/>
      <c r="C63" s="40"/>
      <c r="D63" s="40"/>
    </row>
    <row r="64">
      <c r="A64" s="40"/>
      <c r="B64" s="40"/>
      <c r="C64" s="40"/>
      <c r="D64" s="40"/>
    </row>
    <row r="65">
      <c r="A65" s="40"/>
      <c r="B65" s="40"/>
      <c r="C65" s="40"/>
      <c r="D65" s="40"/>
    </row>
    <row r="66">
      <c r="A66" s="40"/>
      <c r="B66" s="40"/>
      <c r="C66" s="40"/>
      <c r="D66" s="40"/>
    </row>
    <row r="67">
      <c r="A67" s="40"/>
      <c r="B67" s="40"/>
      <c r="C67" s="40"/>
      <c r="D67" s="40"/>
    </row>
    <row r="68">
      <c r="A68" s="40"/>
      <c r="B68" s="40"/>
      <c r="C68" s="40"/>
      <c r="D68" s="40"/>
    </row>
    <row r="69">
      <c r="A69" s="40"/>
      <c r="B69" s="40"/>
      <c r="C69" s="40"/>
      <c r="D69" s="40"/>
    </row>
    <row r="70">
      <c r="A70" s="40"/>
      <c r="B70" s="40"/>
      <c r="C70" s="40"/>
      <c r="D70" s="40"/>
    </row>
    <row r="71">
      <c r="A71" s="40"/>
      <c r="B71" s="40"/>
      <c r="C71" s="40"/>
      <c r="D71" s="40"/>
    </row>
    <row r="72">
      <c r="A72" s="40"/>
      <c r="B72" s="40"/>
      <c r="C72" s="40"/>
      <c r="D72" s="40"/>
    </row>
    <row r="73">
      <c r="A73" s="40"/>
      <c r="B73" s="40"/>
      <c r="C73" s="40"/>
      <c r="D73" s="40"/>
    </row>
    <row r="74">
      <c r="A74" s="40"/>
      <c r="B74" s="40"/>
      <c r="C74" s="40"/>
      <c r="D74" s="40"/>
    </row>
    <row r="75">
      <c r="A75" s="40"/>
      <c r="B75" s="40"/>
      <c r="C75" s="40"/>
      <c r="D75" s="40"/>
    </row>
    <row r="76">
      <c r="A76" s="40"/>
      <c r="B76" s="40"/>
      <c r="C76" s="40"/>
      <c r="D76" s="40"/>
    </row>
    <row r="77">
      <c r="A77" s="40"/>
      <c r="B77" s="40"/>
      <c r="C77" s="40"/>
      <c r="D77" s="40"/>
    </row>
    <row r="78">
      <c r="A78" s="40"/>
      <c r="B78" s="40"/>
      <c r="C78" s="40"/>
      <c r="D78" s="40"/>
    </row>
    <row r="79">
      <c r="A79" s="40"/>
      <c r="B79" s="40"/>
      <c r="C79" s="40"/>
      <c r="D79" s="40"/>
    </row>
    <row r="80">
      <c r="A80" s="40"/>
      <c r="B80" s="40"/>
      <c r="C80" s="40"/>
      <c r="D80" s="40"/>
    </row>
    <row r="81">
      <c r="A81" s="40"/>
      <c r="B81" s="40"/>
      <c r="C81" s="40"/>
      <c r="D81" s="40"/>
    </row>
    <row r="82">
      <c r="A82" s="40"/>
      <c r="B82" s="40"/>
      <c r="C82" s="40"/>
      <c r="D82" s="40"/>
    </row>
    <row r="83">
      <c r="A83" s="40"/>
      <c r="B83" s="40"/>
      <c r="C83" s="40"/>
      <c r="D83" s="40"/>
    </row>
  </sheetData>
  <conditionalFormatting sqref="C1:C83">
    <cfRule type="expression" dxfId="4" priority="1">
      <formula>REGEXMATCH(C1, "Suspended")</formula>
    </cfRule>
  </conditionalFormatting>
  <conditionalFormatting sqref="C1:C83">
    <cfRule type="expression" dxfId="5" priority="2">
      <formula>REGEXMATCH(C1, "Deleted")</formula>
    </cfRule>
  </conditionalFormatting>
  <conditionalFormatting sqref="C1:C83">
    <cfRule type="expression" dxfId="6" priority="3">
      <formula>REGEXMATCH(C1, "Error")</formula>
    </cfRule>
  </conditionalFormatting>
  <dataValidations>
    <dataValidation type="list" allowBlank="1" showDropDown="1" sqref="A2:A83">
      <formula1>"Suspend,Delete"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5.88"/>
    <col customWidth="1" min="3" max="3" width="13.13"/>
    <col customWidth="1" min="4" max="4" width="26.63"/>
  </cols>
  <sheetData>
    <row r="1" ht="15.75" customHeight="1">
      <c r="A1" s="41" t="s">
        <v>43</v>
      </c>
      <c r="B1" s="42" t="str">
        <f t="array" ref="B1:B40">{"GroupEmails 🔂"; IFERROR(VLOOKUP(C2:C40, 'Org Unit Path List'!D:E, 2, FALSE), "")}</f>
        <v>GroupEmails 🔂</v>
      </c>
      <c r="C1" s="41" t="s">
        <v>44</v>
      </c>
      <c r="D1" s="42" t="s">
        <v>45</v>
      </c>
    </row>
    <row r="2" ht="15.75" customHeight="1">
      <c r="A2" s="43" t="str">
        <f>'G Suite Bulk User Creation'!D2</f>
        <v>aman.hans@zupee.in</v>
      </c>
      <c r="B2" s="44" t="s">
        <v>46</v>
      </c>
      <c r="C2" s="43" t="s">
        <v>47</v>
      </c>
    </row>
    <row r="3" ht="15.75" customHeight="1">
      <c r="A3" s="43" t="str">
        <f t="shared" ref="A3:A14" si="1">#REF!</f>
        <v>#REF!</v>
      </c>
      <c r="B3" s="44" t="s">
        <v>46</v>
      </c>
      <c r="C3" s="43" t="s">
        <v>48</v>
      </c>
    </row>
    <row r="4" ht="15.75" customHeight="1">
      <c r="A4" s="43" t="str">
        <f t="shared" si="1"/>
        <v>#REF!</v>
      </c>
      <c r="B4" s="44" t="s">
        <v>46</v>
      </c>
      <c r="C4" s="43" t="s">
        <v>47</v>
      </c>
    </row>
    <row r="5" ht="15.75" customHeight="1">
      <c r="A5" s="43" t="str">
        <f t="shared" si="1"/>
        <v>#REF!</v>
      </c>
      <c r="B5" s="44" t="s">
        <v>46</v>
      </c>
      <c r="C5" s="43" t="s">
        <v>47</v>
      </c>
    </row>
    <row r="6" ht="15.75" customHeight="1">
      <c r="A6" s="43" t="str">
        <f t="shared" si="1"/>
        <v>#REF!</v>
      </c>
      <c r="B6" s="44" t="s">
        <v>46</v>
      </c>
      <c r="C6" s="43" t="s">
        <v>48</v>
      </c>
    </row>
    <row r="7" ht="15.75" customHeight="1">
      <c r="A7" s="43" t="str">
        <f t="shared" si="1"/>
        <v>#REF!</v>
      </c>
      <c r="B7" s="44" t="s">
        <v>49</v>
      </c>
      <c r="C7" s="44"/>
    </row>
    <row r="8" ht="15.75" customHeight="1">
      <c r="A8" s="43" t="str">
        <f t="shared" si="1"/>
        <v>#REF!</v>
      </c>
      <c r="B8" s="44" t="s">
        <v>49</v>
      </c>
      <c r="C8" s="44"/>
    </row>
    <row r="9" ht="15.75" customHeight="1">
      <c r="A9" s="43" t="str">
        <f t="shared" si="1"/>
        <v>#REF!</v>
      </c>
      <c r="B9" s="44" t="s">
        <v>49</v>
      </c>
      <c r="C9" s="44"/>
    </row>
    <row r="10" ht="15.75" customHeight="1">
      <c r="A10" s="43" t="str">
        <f t="shared" si="1"/>
        <v>#REF!</v>
      </c>
      <c r="B10" s="44" t="s">
        <v>49</v>
      </c>
      <c r="C10" s="44"/>
    </row>
    <row r="11" ht="15.75" customHeight="1">
      <c r="A11" s="43" t="str">
        <f t="shared" si="1"/>
        <v>#REF!</v>
      </c>
      <c r="B11" s="44" t="s">
        <v>49</v>
      </c>
      <c r="C11" s="44"/>
    </row>
    <row r="12" ht="15.75" customHeight="1">
      <c r="A12" s="43" t="str">
        <f t="shared" si="1"/>
        <v>#REF!</v>
      </c>
      <c r="B12" s="44" t="s">
        <v>49</v>
      </c>
      <c r="C12" s="44"/>
    </row>
    <row r="13" ht="15.75" customHeight="1">
      <c r="A13" s="43" t="str">
        <f t="shared" si="1"/>
        <v>#REF!</v>
      </c>
      <c r="B13" s="44" t="s">
        <v>49</v>
      </c>
      <c r="C13" s="44"/>
    </row>
    <row r="14" ht="15.75" customHeight="1">
      <c r="A14" s="43" t="str">
        <f t="shared" si="1"/>
        <v>#REF!</v>
      </c>
      <c r="B14" s="44" t="s">
        <v>49</v>
      </c>
      <c r="C14" s="44"/>
    </row>
    <row r="15" ht="15.75" customHeight="1">
      <c r="B15" s="44" t="s">
        <v>49</v>
      </c>
      <c r="C15" s="44"/>
    </row>
    <row r="16" ht="15.75" customHeight="1">
      <c r="B16" s="44" t="s">
        <v>49</v>
      </c>
      <c r="C16" s="44"/>
    </row>
    <row r="17" ht="15.75" customHeight="1">
      <c r="B17" s="44" t="s">
        <v>49</v>
      </c>
      <c r="C17" s="44"/>
    </row>
    <row r="18" ht="15.75" customHeight="1">
      <c r="B18" s="44" t="s">
        <v>49</v>
      </c>
      <c r="C18" s="44"/>
    </row>
    <row r="19" ht="15.75" customHeight="1">
      <c r="B19" s="44" t="s">
        <v>49</v>
      </c>
      <c r="C19" s="44"/>
    </row>
    <row r="20" ht="15.75" customHeight="1">
      <c r="B20" s="44" t="s">
        <v>49</v>
      </c>
      <c r="C20" s="44"/>
    </row>
    <row r="21" ht="15.75" customHeight="1">
      <c r="B21" s="44" t="s">
        <v>49</v>
      </c>
    </row>
    <row r="22" ht="15.75" customHeight="1">
      <c r="B22" s="44" t="s">
        <v>49</v>
      </c>
    </row>
    <row r="23" ht="15.75" customHeight="1">
      <c r="B23" s="44" t="s">
        <v>49</v>
      </c>
    </row>
    <row r="24" ht="15.75" customHeight="1">
      <c r="B24" s="44" t="s">
        <v>49</v>
      </c>
    </row>
    <row r="25" ht="15.75" customHeight="1">
      <c r="B25" s="44" t="s">
        <v>49</v>
      </c>
    </row>
    <row r="26" ht="15.75" customHeight="1">
      <c r="B26" s="44" t="s">
        <v>49</v>
      </c>
    </row>
    <row r="27" ht="15.75" customHeight="1">
      <c r="B27" s="44" t="s">
        <v>49</v>
      </c>
    </row>
    <row r="28" ht="15.75" customHeight="1">
      <c r="B28" s="44" t="s">
        <v>49</v>
      </c>
    </row>
    <row r="29" ht="15.75" customHeight="1">
      <c r="B29" s="44" t="s">
        <v>49</v>
      </c>
    </row>
    <row r="30" ht="15.75" customHeight="1">
      <c r="B30" s="44" t="s">
        <v>49</v>
      </c>
    </row>
    <row r="31" ht="15.75" customHeight="1">
      <c r="B31" s="44" t="s">
        <v>49</v>
      </c>
    </row>
    <row r="32" ht="15.75" customHeight="1">
      <c r="B32" s="44" t="s">
        <v>49</v>
      </c>
    </row>
    <row r="33" ht="15.75" customHeight="1">
      <c r="B33" s="44" t="s">
        <v>49</v>
      </c>
    </row>
    <row r="34" ht="15.75" customHeight="1">
      <c r="B34" s="44" t="s">
        <v>49</v>
      </c>
    </row>
    <row r="35" ht="15.75" customHeight="1">
      <c r="B35" s="44" t="s">
        <v>49</v>
      </c>
    </row>
    <row r="36" ht="15.75" customHeight="1">
      <c r="B36" s="44" t="s">
        <v>49</v>
      </c>
    </row>
    <row r="37" ht="15.75" customHeight="1">
      <c r="B37" s="44" t="s">
        <v>49</v>
      </c>
    </row>
    <row r="38" ht="15.75" customHeight="1">
      <c r="B38" s="44" t="s">
        <v>49</v>
      </c>
    </row>
    <row r="39" ht="15.75" customHeight="1">
      <c r="B39" s="44" t="s">
        <v>49</v>
      </c>
    </row>
    <row r="40" ht="15.75" customHeight="1">
      <c r="B40" s="44" t="s">
        <v>49</v>
      </c>
    </row>
  </sheetData>
  <dataValidations>
    <dataValidation type="list" allowBlank="1" showDropDown="1" showErrorMessage="1" sqref="C2:C20">
      <formula1>'Org Unit Path List'!$D$2:$D$5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7.38"/>
    <col customWidth="1" min="3" max="3" width="52.88"/>
  </cols>
  <sheetData>
    <row r="1" ht="15.75" customHeight="1">
      <c r="A1" s="41" t="s">
        <v>43</v>
      </c>
      <c r="B1" s="41" t="s">
        <v>50</v>
      </c>
      <c r="C1" s="45" t="s">
        <v>45</v>
      </c>
    </row>
    <row r="2" ht="15.75" customHeight="1">
      <c r="A2" s="46" t="s">
        <v>51</v>
      </c>
      <c r="B2" s="46" t="s">
        <v>52</v>
      </c>
      <c r="C2" s="46" t="s">
        <v>53</v>
      </c>
    </row>
    <row r="3" ht="15.75" customHeight="1">
      <c r="A3" s="46" t="s">
        <v>54</v>
      </c>
      <c r="B3" s="46" t="s">
        <v>52</v>
      </c>
      <c r="C3" s="46" t="s">
        <v>55</v>
      </c>
    </row>
    <row r="4" ht="15.75" customHeight="1">
      <c r="A4" s="46" t="s">
        <v>56</v>
      </c>
      <c r="B4" s="46" t="s">
        <v>52</v>
      </c>
      <c r="C4" s="46" t="s">
        <v>55</v>
      </c>
    </row>
    <row r="5" ht="15.75" customHeight="1">
      <c r="A5" s="46" t="s">
        <v>57</v>
      </c>
      <c r="B5" s="46" t="s">
        <v>52</v>
      </c>
      <c r="C5" s="46" t="s">
        <v>55</v>
      </c>
    </row>
    <row r="6" ht="15.75" customHeight="1">
      <c r="A6" s="46" t="s">
        <v>58</v>
      </c>
      <c r="B6" s="46" t="s">
        <v>52</v>
      </c>
      <c r="C6" s="46" t="s">
        <v>55</v>
      </c>
    </row>
    <row r="7" ht="15.75" customHeight="1">
      <c r="A7" s="46"/>
      <c r="B7" s="46"/>
      <c r="C7" s="46"/>
    </row>
    <row r="8" ht="15.75" customHeight="1">
      <c r="A8" s="46"/>
      <c r="B8" s="46"/>
      <c r="C8" s="46"/>
    </row>
    <row r="9" ht="15.75" customHeight="1">
      <c r="A9" s="46"/>
      <c r="B9" s="46"/>
      <c r="C9" s="46"/>
    </row>
    <row r="10" ht="15.75" customHeight="1">
      <c r="A10" s="46"/>
      <c r="B10" s="46"/>
      <c r="C10" s="46"/>
    </row>
    <row r="11" ht="15.75" customHeight="1">
      <c r="A11" s="46"/>
      <c r="B11" s="46"/>
      <c r="C11" s="46"/>
    </row>
    <row r="12" ht="15.75" customHeight="1">
      <c r="A12" s="46"/>
      <c r="B12" s="46"/>
      <c r="C12" s="46"/>
    </row>
    <row r="13" ht="15.75" customHeight="1">
      <c r="A13" s="46"/>
      <c r="B13" s="46"/>
      <c r="C13" s="46"/>
    </row>
    <row r="14" ht="15.75" customHeight="1">
      <c r="A14" s="46"/>
      <c r="B14" s="46"/>
      <c r="C14" s="46"/>
    </row>
    <row r="15" ht="15.75" customHeight="1">
      <c r="A15" s="46"/>
      <c r="B15" s="46"/>
      <c r="C15" s="46"/>
    </row>
    <row r="16" ht="15.75" customHeight="1">
      <c r="A16" s="46"/>
      <c r="B16" s="46"/>
      <c r="C16" s="46"/>
    </row>
    <row r="17" ht="15.75" customHeight="1">
      <c r="A17" s="46"/>
      <c r="B17" s="46"/>
      <c r="C17" s="46"/>
    </row>
    <row r="18" ht="15.75" customHeight="1">
      <c r="A18" s="46"/>
      <c r="B18" s="46"/>
      <c r="C18" s="46"/>
    </row>
    <row r="19" ht="15.75" customHeight="1">
      <c r="A19" s="46"/>
      <c r="B19" s="46"/>
      <c r="C19" s="46"/>
    </row>
    <row r="20" ht="15.75" customHeight="1">
      <c r="A20" s="46"/>
      <c r="B20" s="46"/>
      <c r="C20" s="46"/>
    </row>
    <row r="21" ht="15.75" customHeight="1">
      <c r="A21" s="46"/>
      <c r="B21" s="46"/>
      <c r="C21" s="46"/>
    </row>
    <row r="22" ht="15.75" customHeight="1">
      <c r="A22" s="46"/>
      <c r="B22" s="46"/>
      <c r="C22" s="46"/>
    </row>
    <row r="23" ht="15.75" customHeight="1">
      <c r="A23" s="46"/>
      <c r="B23" s="46"/>
      <c r="C23" s="46"/>
    </row>
    <row r="24" ht="15.75" customHeight="1">
      <c r="A24" s="46"/>
      <c r="B24" s="46"/>
      <c r="C24" s="46"/>
    </row>
    <row r="25" ht="15.75" customHeight="1">
      <c r="A25" s="46"/>
      <c r="B25" s="46"/>
      <c r="C25" s="46"/>
    </row>
    <row r="26" ht="15.75" customHeight="1">
      <c r="A26" s="46"/>
      <c r="B26" s="46"/>
      <c r="C26" s="46"/>
    </row>
    <row r="27" ht="15.75" customHeight="1">
      <c r="A27" s="46"/>
      <c r="B27" s="46"/>
      <c r="C27" s="46"/>
    </row>
    <row r="28" ht="15.75" customHeight="1">
      <c r="A28" s="46"/>
      <c r="B28" s="46"/>
      <c r="C28" s="46"/>
    </row>
    <row r="29" ht="15.75" customHeight="1">
      <c r="A29" s="46"/>
      <c r="B29" s="46"/>
      <c r="C29" s="46"/>
    </row>
    <row r="30" ht="15.75" customHeight="1">
      <c r="A30" s="46"/>
      <c r="B30" s="46"/>
      <c r="C30" s="46"/>
    </row>
    <row r="31" ht="15.75" customHeight="1">
      <c r="A31" s="46"/>
      <c r="B31" s="46"/>
      <c r="C31" s="46"/>
    </row>
    <row r="32" ht="15.75" customHeight="1">
      <c r="A32" s="46"/>
      <c r="B32" s="46"/>
      <c r="C32" s="46"/>
    </row>
    <row r="33" ht="15.75" customHeight="1">
      <c r="A33" s="46"/>
      <c r="B33" s="46"/>
      <c r="C33" s="46"/>
    </row>
    <row r="34" ht="15.75" customHeight="1">
      <c r="A34" s="46"/>
      <c r="B34" s="46"/>
      <c r="C34" s="46"/>
    </row>
    <row r="35" ht="15.75" customHeight="1">
      <c r="A35" s="46"/>
      <c r="B35" s="46"/>
      <c r="C35" s="46"/>
    </row>
    <row r="36" ht="15.75" customHeight="1">
      <c r="A36" s="46"/>
      <c r="B36" s="46"/>
      <c r="C36" s="46"/>
    </row>
    <row r="37" ht="15.75" customHeight="1">
      <c r="A37" s="46"/>
      <c r="B37" s="46"/>
      <c r="C37" s="46"/>
    </row>
    <row r="38" ht="15.75" customHeight="1">
      <c r="A38" s="46"/>
      <c r="B38" s="46"/>
      <c r="C38" s="46"/>
    </row>
    <row r="39" ht="15.75" customHeight="1">
      <c r="A39" s="46"/>
      <c r="B39" s="46"/>
      <c r="C39" s="46"/>
    </row>
    <row r="40" ht="15.75" customHeight="1">
      <c r="A40" s="46"/>
      <c r="B40" s="46"/>
      <c r="C40" s="46"/>
    </row>
    <row r="41" ht="15.75" customHeight="1">
      <c r="A41" s="46"/>
      <c r="B41" s="46"/>
      <c r="C41" s="46"/>
    </row>
    <row r="42" ht="15.75" customHeight="1">
      <c r="A42" s="46"/>
      <c r="B42" s="46"/>
      <c r="C42" s="46"/>
    </row>
    <row r="43" ht="15.75" customHeight="1">
      <c r="A43" s="46"/>
      <c r="B43" s="46"/>
      <c r="C43" s="46"/>
    </row>
    <row r="44" ht="15.75" customHeight="1">
      <c r="A44" s="46"/>
      <c r="B44" s="46"/>
      <c r="C44" s="46"/>
    </row>
    <row r="45" ht="15.75" customHeight="1">
      <c r="A45" s="46"/>
      <c r="B45" s="46"/>
      <c r="C45" s="46"/>
    </row>
    <row r="46" ht="15.75" customHeight="1">
      <c r="A46" s="46"/>
      <c r="B46" s="46"/>
      <c r="C46" s="46"/>
    </row>
    <row r="47" ht="15.75" customHeight="1">
      <c r="A47" s="46"/>
      <c r="B47" s="46"/>
      <c r="C47" s="46"/>
    </row>
    <row r="48" ht="15.75" customHeight="1">
      <c r="A48" s="47"/>
      <c r="B48" s="47"/>
      <c r="C48" s="46"/>
    </row>
    <row r="49" ht="15.75" customHeight="1">
      <c r="A49" s="47"/>
      <c r="B49" s="47"/>
      <c r="C49" s="46"/>
    </row>
    <row r="50" ht="15.75" customHeight="1">
      <c r="A50" s="47"/>
      <c r="B50" s="47"/>
      <c r="C50" s="46"/>
    </row>
    <row r="51" ht="15.75" customHeight="1">
      <c r="A51" s="47"/>
      <c r="B51" s="47"/>
      <c r="C51" s="46"/>
    </row>
    <row r="52" ht="15.75" customHeight="1">
      <c r="A52" s="47"/>
      <c r="B52" s="47"/>
      <c r="C52" s="46"/>
    </row>
    <row r="53" ht="15.75" customHeight="1">
      <c r="A53" s="47"/>
      <c r="B53" s="47"/>
      <c r="C53" s="46"/>
    </row>
    <row r="54" ht="15.75" customHeight="1">
      <c r="A54" s="47"/>
      <c r="B54" s="47"/>
      <c r="C54" s="46"/>
    </row>
    <row r="55" ht="15.75" customHeight="1">
      <c r="A55" s="47"/>
      <c r="B55" s="47"/>
      <c r="C55" s="46"/>
    </row>
    <row r="56" ht="15.75" customHeight="1">
      <c r="A56" s="47"/>
      <c r="B56" s="47"/>
      <c r="C56" s="46"/>
    </row>
    <row r="57" ht="15.75" customHeight="1">
      <c r="A57" s="47"/>
      <c r="B57" s="47"/>
      <c r="C57" s="46"/>
    </row>
    <row r="58" ht="15.75" customHeight="1">
      <c r="A58" s="47"/>
      <c r="B58" s="47"/>
      <c r="C58" s="46"/>
    </row>
    <row r="59" ht="15.75" customHeight="1">
      <c r="A59" s="47"/>
      <c r="B59" s="47"/>
      <c r="C59" s="46"/>
    </row>
    <row r="60" ht="15.75" customHeight="1">
      <c r="A60" s="47"/>
      <c r="B60" s="47"/>
      <c r="C60" s="46"/>
    </row>
    <row r="61" ht="15.75" customHeight="1">
      <c r="A61" s="47"/>
      <c r="B61" s="47"/>
      <c r="C61" s="46"/>
    </row>
    <row r="62" ht="15.75" customHeight="1">
      <c r="A62" s="47"/>
      <c r="B62" s="47"/>
      <c r="C62" s="46"/>
    </row>
    <row r="63" ht="15.75" customHeight="1">
      <c r="A63" s="47"/>
      <c r="B63" s="47"/>
      <c r="C63" s="46"/>
    </row>
    <row r="64" ht="15.75" customHeight="1">
      <c r="A64" s="47"/>
      <c r="B64" s="47"/>
      <c r="C64" s="46"/>
    </row>
    <row r="65" ht="15.75" customHeight="1">
      <c r="A65" s="47"/>
      <c r="B65" s="47"/>
      <c r="C65" s="46"/>
    </row>
    <row r="66" ht="15.75" customHeight="1">
      <c r="A66" s="47"/>
      <c r="B66" s="47"/>
      <c r="C66" s="46"/>
    </row>
    <row r="67" ht="15.75" customHeight="1">
      <c r="A67" s="47"/>
      <c r="B67" s="47"/>
      <c r="C67" s="46"/>
    </row>
    <row r="68" ht="15.75" customHeight="1">
      <c r="A68" s="47"/>
      <c r="B68" s="47"/>
      <c r="C68" s="46"/>
    </row>
    <row r="69" ht="15.75" customHeight="1">
      <c r="A69" s="47"/>
      <c r="B69" s="47"/>
      <c r="C69" s="46"/>
    </row>
    <row r="70" ht="15.75" customHeight="1">
      <c r="A70" s="47"/>
      <c r="B70" s="47"/>
      <c r="C70" s="46"/>
    </row>
    <row r="71" ht="15.75" customHeight="1">
      <c r="A71" s="47"/>
      <c r="B71" s="47"/>
      <c r="C71" s="46"/>
    </row>
    <row r="72" ht="15.75" customHeight="1">
      <c r="A72" s="47"/>
      <c r="B72" s="47"/>
      <c r="C72" s="46"/>
    </row>
    <row r="73" ht="15.75" customHeight="1">
      <c r="A73" s="47"/>
      <c r="B73" s="47"/>
      <c r="C73" s="46"/>
    </row>
    <row r="74" ht="15.75" customHeight="1">
      <c r="A74" s="47"/>
      <c r="B74" s="47"/>
      <c r="C74" s="46"/>
    </row>
    <row r="75" ht="15.75" customHeight="1">
      <c r="A75" s="47"/>
      <c r="B75" s="47"/>
      <c r="C75" s="46"/>
    </row>
    <row r="76" ht="15.75" customHeight="1">
      <c r="A76" s="47"/>
      <c r="B76" s="47"/>
      <c r="C76" s="46"/>
    </row>
    <row r="77" ht="15.75" customHeight="1">
      <c r="A77" s="47"/>
      <c r="B77" s="47"/>
      <c r="C77" s="46"/>
    </row>
    <row r="78" ht="15.75" customHeight="1">
      <c r="A78" s="47"/>
      <c r="B78" s="47"/>
      <c r="C78" s="46"/>
    </row>
    <row r="79" ht="15.75" customHeight="1">
      <c r="A79" s="47"/>
      <c r="B79" s="47"/>
      <c r="C79" s="46"/>
    </row>
    <row r="80" ht="15.75" customHeight="1">
      <c r="A80" s="47"/>
      <c r="B80" s="47"/>
      <c r="C80" s="46"/>
    </row>
    <row r="81" ht="15.75" customHeight="1">
      <c r="A81" s="47"/>
      <c r="B81" s="47"/>
      <c r="C81" s="46"/>
    </row>
    <row r="82" ht="15.75" customHeight="1">
      <c r="A82" s="47"/>
      <c r="B82" s="47"/>
      <c r="C82" s="46"/>
    </row>
    <row r="83" ht="15.75" customHeight="1">
      <c r="A83" s="47"/>
      <c r="B83" s="47"/>
      <c r="C83" s="46"/>
    </row>
    <row r="84" ht="15.75" customHeight="1">
      <c r="A84" s="47"/>
      <c r="B84" s="47"/>
      <c r="C84" s="46"/>
    </row>
    <row r="85" ht="15.75" customHeight="1">
      <c r="A85" s="47"/>
      <c r="B85" s="47"/>
      <c r="C85" s="46"/>
    </row>
    <row r="86" ht="15.75" customHeight="1">
      <c r="A86" s="47"/>
      <c r="B86" s="47"/>
      <c r="C86" s="46"/>
    </row>
    <row r="87" ht="15.75" customHeight="1">
      <c r="A87" s="47"/>
      <c r="B87" s="47"/>
      <c r="C87" s="46"/>
    </row>
    <row r="88" ht="15.75" customHeight="1">
      <c r="A88" s="47"/>
      <c r="B88" s="47"/>
      <c r="C88" s="46"/>
    </row>
    <row r="89" ht="15.75" customHeight="1">
      <c r="A89" s="47"/>
      <c r="B89" s="47"/>
      <c r="C89" s="46"/>
    </row>
    <row r="90" ht="15.75" customHeight="1">
      <c r="A90" s="47"/>
      <c r="B90" s="47"/>
      <c r="C90" s="46"/>
    </row>
    <row r="91" ht="15.75" customHeight="1">
      <c r="A91" s="47"/>
      <c r="B91" s="47"/>
      <c r="C91" s="46"/>
    </row>
    <row r="92" ht="15.75" customHeight="1">
      <c r="A92" s="47"/>
      <c r="B92" s="47"/>
      <c r="C92" s="46"/>
    </row>
    <row r="93" ht="15.75" customHeight="1">
      <c r="A93" s="47"/>
      <c r="B93" s="47"/>
      <c r="C93" s="46"/>
    </row>
    <row r="94" ht="15.75" customHeight="1">
      <c r="A94" s="47"/>
      <c r="B94" s="47"/>
      <c r="C94" s="46"/>
    </row>
    <row r="95" ht="15.75" customHeight="1">
      <c r="A95" s="47"/>
      <c r="B95" s="47"/>
      <c r="C95" s="46"/>
    </row>
    <row r="96" ht="15.75" customHeight="1">
      <c r="A96" s="47"/>
      <c r="B96" s="47"/>
      <c r="C96" s="46"/>
    </row>
    <row r="97" ht="15.75" customHeight="1">
      <c r="A97" s="47"/>
      <c r="B97" s="47"/>
      <c r="C97" s="46"/>
    </row>
    <row r="98" ht="15.75" customHeight="1">
      <c r="A98" s="47"/>
      <c r="B98" s="47"/>
      <c r="C98" s="46"/>
    </row>
    <row r="99" ht="15.75" customHeight="1">
      <c r="A99" s="47"/>
      <c r="B99" s="47"/>
      <c r="C99" s="46"/>
    </row>
    <row r="100" ht="15.75" customHeight="1">
      <c r="A100" s="47"/>
      <c r="B100" s="47"/>
      <c r="C100" s="46"/>
    </row>
    <row r="101" ht="15.75" customHeight="1">
      <c r="A101" s="47"/>
      <c r="B101" s="47"/>
      <c r="C101" s="46"/>
    </row>
    <row r="102" ht="15.75" customHeight="1">
      <c r="A102" s="47"/>
      <c r="B102" s="47"/>
      <c r="C102" s="46"/>
    </row>
    <row r="103" ht="15.75" customHeight="1">
      <c r="A103" s="47"/>
      <c r="B103" s="47"/>
      <c r="C103" s="46"/>
    </row>
    <row r="104" ht="15.75" customHeight="1">
      <c r="A104" s="47"/>
      <c r="B104" s="47"/>
      <c r="C104" s="46"/>
    </row>
    <row r="105" ht="15.75" customHeight="1">
      <c r="A105" s="47"/>
      <c r="B105" s="47"/>
      <c r="C105" s="46"/>
    </row>
    <row r="106" ht="15.75" customHeight="1">
      <c r="A106" s="47"/>
      <c r="B106" s="47"/>
      <c r="C106" s="46"/>
    </row>
    <row r="107" ht="15.75" customHeight="1">
      <c r="A107" s="47"/>
      <c r="B107" s="47"/>
      <c r="C107" s="46"/>
    </row>
    <row r="108" ht="15.75" customHeight="1">
      <c r="A108" s="47"/>
      <c r="B108" s="47"/>
      <c r="C108" s="46"/>
    </row>
    <row r="109" ht="15.75" customHeight="1">
      <c r="A109" s="47"/>
      <c r="B109" s="47"/>
      <c r="C109" s="46"/>
    </row>
    <row r="110" ht="15.75" customHeight="1">
      <c r="A110" s="47"/>
      <c r="B110" s="47"/>
      <c r="C110" s="46"/>
    </row>
    <row r="111" ht="15.75" customHeight="1">
      <c r="A111" s="47"/>
      <c r="B111" s="47"/>
      <c r="C111" s="46"/>
    </row>
    <row r="112" ht="15.75" customHeight="1">
      <c r="A112" s="47"/>
      <c r="B112" s="47"/>
      <c r="C112" s="46"/>
    </row>
    <row r="113" ht="15.75" customHeight="1">
      <c r="A113" s="47"/>
      <c r="B113" s="47"/>
      <c r="C113" s="46"/>
    </row>
    <row r="114" ht="15.75" customHeight="1">
      <c r="A114" s="47"/>
      <c r="B114" s="47"/>
      <c r="C114" s="46"/>
    </row>
    <row r="115" ht="15.75" customHeight="1">
      <c r="A115" s="47"/>
      <c r="B115" s="47"/>
      <c r="C115" s="46"/>
    </row>
    <row r="116" ht="15.75" customHeight="1">
      <c r="A116" s="47"/>
      <c r="B116" s="47"/>
      <c r="C116" s="46"/>
    </row>
    <row r="117" ht="15.75" customHeight="1">
      <c r="A117" s="47"/>
      <c r="B117" s="47"/>
      <c r="C117" s="46"/>
    </row>
    <row r="118" ht="15.75" customHeight="1">
      <c r="A118" s="47"/>
      <c r="B118" s="47"/>
      <c r="C118" s="46"/>
    </row>
    <row r="119" ht="15.75" customHeight="1">
      <c r="A119" s="47"/>
      <c r="B119" s="47"/>
      <c r="C119" s="46"/>
    </row>
    <row r="120" ht="15.75" customHeight="1">
      <c r="A120" s="47"/>
      <c r="B120" s="47"/>
      <c r="C120" s="46"/>
    </row>
    <row r="121" ht="15.75" customHeight="1">
      <c r="A121" s="47"/>
      <c r="B121" s="47"/>
      <c r="C121" s="46"/>
    </row>
    <row r="122" ht="15.75" customHeight="1">
      <c r="A122" s="47"/>
      <c r="B122" s="47"/>
      <c r="C122" s="46"/>
    </row>
    <row r="123" ht="15.75" customHeight="1">
      <c r="A123" s="47"/>
      <c r="B123" s="47"/>
      <c r="C123" s="46"/>
    </row>
    <row r="124" ht="15.75" customHeight="1">
      <c r="A124" s="47"/>
      <c r="B124" s="47"/>
      <c r="C124" s="46"/>
    </row>
    <row r="125" ht="15.75" customHeight="1">
      <c r="A125" s="47"/>
      <c r="B125" s="47"/>
      <c r="C125" s="46"/>
    </row>
    <row r="126" ht="15.75" customHeight="1">
      <c r="A126" s="47"/>
      <c r="B126" s="47"/>
      <c r="C126" s="46"/>
    </row>
    <row r="127" ht="15.75" customHeight="1">
      <c r="A127" s="47"/>
      <c r="B127" s="47"/>
      <c r="C127" s="46"/>
    </row>
    <row r="128" ht="15.75" customHeight="1">
      <c r="A128" s="47"/>
      <c r="B128" s="47"/>
      <c r="C128" s="46"/>
    </row>
    <row r="129" ht="15.75" customHeight="1">
      <c r="A129" s="47"/>
      <c r="B129" s="47"/>
      <c r="C129" s="46"/>
    </row>
    <row r="130" ht="15.75" customHeight="1">
      <c r="A130" s="47"/>
      <c r="B130" s="47"/>
      <c r="C130" s="46"/>
    </row>
    <row r="131" ht="15.75" customHeight="1">
      <c r="A131" s="47"/>
      <c r="B131" s="47"/>
      <c r="C131" s="46"/>
    </row>
    <row r="132" ht="15.75" customHeight="1">
      <c r="A132" s="47"/>
      <c r="B132" s="47"/>
      <c r="C132" s="46"/>
    </row>
    <row r="133" ht="15.75" customHeight="1">
      <c r="A133" s="47"/>
      <c r="B133" s="47"/>
      <c r="C133" s="46"/>
    </row>
    <row r="134" ht="15.75" customHeight="1">
      <c r="A134" s="47"/>
      <c r="B134" s="47"/>
      <c r="C134" s="46"/>
    </row>
    <row r="135" ht="15.75" customHeight="1">
      <c r="A135" s="47"/>
      <c r="B135" s="47"/>
      <c r="C135" s="46"/>
    </row>
    <row r="136" ht="15.75" customHeight="1">
      <c r="A136" s="47"/>
      <c r="B136" s="47"/>
      <c r="C136" s="46"/>
    </row>
    <row r="137" ht="15.75" customHeight="1">
      <c r="A137" s="47"/>
      <c r="B137" s="47"/>
      <c r="C137" s="46"/>
    </row>
    <row r="138" ht="15.75" customHeight="1">
      <c r="A138" s="47"/>
      <c r="B138" s="47"/>
      <c r="C138" s="46"/>
    </row>
    <row r="139" ht="15.75" customHeight="1">
      <c r="A139" s="47"/>
      <c r="B139" s="47"/>
      <c r="C139" s="46"/>
    </row>
    <row r="140" ht="15.75" customHeight="1">
      <c r="A140" s="47"/>
      <c r="B140" s="47"/>
      <c r="C140" s="46"/>
    </row>
    <row r="141" ht="15.75" customHeight="1">
      <c r="A141" s="47"/>
      <c r="B141" s="47"/>
      <c r="C141" s="46"/>
    </row>
    <row r="142" ht="15.75" customHeight="1">
      <c r="A142" s="47"/>
      <c r="B142" s="47"/>
      <c r="C142" s="46"/>
    </row>
    <row r="143" ht="15.75" customHeight="1">
      <c r="A143" s="47"/>
      <c r="B143" s="47"/>
      <c r="C143" s="46"/>
    </row>
    <row r="144" ht="15.75" customHeight="1">
      <c r="A144" s="47"/>
      <c r="B144" s="47"/>
      <c r="C144" s="46"/>
    </row>
    <row r="145" ht="15.75" customHeight="1">
      <c r="A145" s="47"/>
      <c r="B145" s="47"/>
      <c r="C145" s="46"/>
    </row>
    <row r="146" ht="15.75" customHeight="1">
      <c r="A146" s="47"/>
      <c r="B146" s="47"/>
      <c r="C146" s="46"/>
    </row>
    <row r="147" ht="15.75" customHeight="1">
      <c r="A147" s="47"/>
      <c r="B147" s="47"/>
      <c r="C147" s="46"/>
    </row>
    <row r="148" ht="15.75" customHeight="1">
      <c r="A148" s="47"/>
      <c r="B148" s="47"/>
      <c r="C148" s="46"/>
    </row>
    <row r="149" ht="15.75" customHeight="1">
      <c r="A149" s="47"/>
      <c r="B149" s="47"/>
      <c r="C149" s="46"/>
    </row>
    <row r="150" ht="15.75" customHeight="1">
      <c r="A150" s="47"/>
      <c r="B150" s="47"/>
      <c r="C150" s="46"/>
    </row>
    <row r="151" ht="15.75" customHeight="1">
      <c r="A151" s="47"/>
      <c r="B151" s="47"/>
      <c r="C151" s="46"/>
    </row>
    <row r="152" ht="15.75" customHeight="1">
      <c r="A152" s="47"/>
      <c r="B152" s="47"/>
      <c r="C152" s="46"/>
    </row>
    <row r="153" ht="15.75" customHeight="1">
      <c r="A153" s="47"/>
      <c r="B153" s="47"/>
      <c r="C153" s="46"/>
    </row>
    <row r="154" ht="15.75" customHeight="1">
      <c r="A154" s="47"/>
      <c r="B154" s="47"/>
      <c r="C154" s="46"/>
    </row>
    <row r="155" ht="15.75" customHeight="1">
      <c r="A155" s="47"/>
      <c r="B155" s="47"/>
      <c r="C155" s="46"/>
    </row>
    <row r="156" ht="15.75" customHeight="1">
      <c r="A156" s="47"/>
      <c r="B156" s="47"/>
      <c r="C156" s="46"/>
    </row>
    <row r="157" ht="15.75" customHeight="1">
      <c r="A157" s="47"/>
      <c r="B157" s="47"/>
      <c r="C157" s="46"/>
    </row>
    <row r="158" ht="15.75" customHeight="1">
      <c r="A158" s="47"/>
      <c r="B158" s="47"/>
      <c r="C158" s="46"/>
    </row>
    <row r="159" ht="15.75" customHeight="1">
      <c r="A159" s="47"/>
      <c r="B159" s="47"/>
      <c r="C159" s="46"/>
    </row>
    <row r="160" ht="15.75" customHeight="1">
      <c r="A160" s="47"/>
      <c r="B160" s="47"/>
      <c r="C160" s="46"/>
    </row>
    <row r="161" ht="15.75" customHeight="1">
      <c r="A161" s="47"/>
      <c r="B161" s="47"/>
      <c r="C161" s="46"/>
    </row>
    <row r="162" ht="15.75" customHeight="1">
      <c r="A162" s="47"/>
      <c r="B162" s="47"/>
      <c r="C162" s="46"/>
    </row>
    <row r="163" ht="15.75" customHeight="1">
      <c r="A163" s="47"/>
      <c r="B163" s="47"/>
      <c r="C163" s="46"/>
    </row>
    <row r="164" ht="15.75" customHeight="1">
      <c r="A164" s="47"/>
      <c r="B164" s="47"/>
      <c r="C164" s="46"/>
    </row>
    <row r="165" ht="15.75" customHeight="1">
      <c r="A165" s="47"/>
      <c r="B165" s="47"/>
      <c r="C165" s="46"/>
    </row>
    <row r="166" ht="15.75" customHeight="1">
      <c r="A166" s="47"/>
      <c r="B166" s="47"/>
      <c r="C166" s="46"/>
    </row>
    <row r="167" ht="15.75" customHeight="1">
      <c r="A167" s="47"/>
      <c r="B167" s="47"/>
      <c r="C167" s="46"/>
    </row>
    <row r="168" ht="15.75" customHeight="1">
      <c r="A168" s="47"/>
      <c r="B168" s="47"/>
      <c r="C168" s="46"/>
    </row>
    <row r="169" ht="15.75" customHeight="1">
      <c r="A169" s="47"/>
      <c r="B169" s="47"/>
      <c r="C169" s="46"/>
    </row>
    <row r="170" ht="15.75" customHeight="1">
      <c r="A170" s="47"/>
      <c r="B170" s="47"/>
      <c r="C170" s="46"/>
    </row>
    <row r="171" ht="15.75" customHeight="1">
      <c r="A171" s="47"/>
      <c r="B171" s="47"/>
      <c r="C171" s="46"/>
    </row>
    <row r="172" ht="15.75" customHeight="1">
      <c r="A172" s="47"/>
      <c r="B172" s="47"/>
      <c r="C172" s="46"/>
    </row>
    <row r="173" ht="15.75" customHeight="1">
      <c r="A173" s="47"/>
      <c r="B173" s="47"/>
      <c r="C173" s="46"/>
    </row>
    <row r="174" ht="15.75" customHeight="1">
      <c r="A174" s="47"/>
      <c r="B174" s="47"/>
      <c r="C174" s="46"/>
    </row>
    <row r="175" ht="15.75" customHeight="1">
      <c r="A175" s="47"/>
      <c r="B175" s="47"/>
      <c r="C175" s="46"/>
    </row>
    <row r="176" ht="15.75" customHeight="1">
      <c r="A176" s="47"/>
      <c r="B176" s="47"/>
      <c r="C176" s="46"/>
    </row>
    <row r="177" ht="15.75" customHeight="1">
      <c r="A177" s="47"/>
      <c r="B177" s="47"/>
      <c r="C177" s="46"/>
    </row>
    <row r="178" ht="15.75" customHeight="1">
      <c r="A178" s="47"/>
      <c r="B178" s="47"/>
      <c r="C178" s="46"/>
    </row>
    <row r="179" ht="15.75" customHeight="1">
      <c r="A179" s="47"/>
      <c r="B179" s="47"/>
      <c r="C179" s="46"/>
    </row>
    <row r="180" ht="15.75" customHeight="1">
      <c r="A180" s="47"/>
      <c r="B180" s="47"/>
      <c r="C180" s="46"/>
    </row>
    <row r="181" ht="15.75" customHeight="1">
      <c r="A181" s="47"/>
      <c r="B181" s="47"/>
      <c r="C181" s="46"/>
    </row>
    <row r="182" ht="15.75" customHeight="1">
      <c r="A182" s="47"/>
      <c r="B182" s="47"/>
      <c r="C182" s="46"/>
    </row>
    <row r="183" ht="15.75" customHeight="1">
      <c r="A183" s="47"/>
      <c r="B183" s="47"/>
      <c r="C183" s="46"/>
    </row>
    <row r="184" ht="15.75" customHeight="1">
      <c r="A184" s="47"/>
      <c r="B184" s="47"/>
      <c r="C184" s="46"/>
    </row>
    <row r="185" ht="15.75" customHeight="1">
      <c r="A185" s="47"/>
      <c r="B185" s="47"/>
      <c r="C185" s="46"/>
    </row>
    <row r="186" ht="15.75" customHeight="1">
      <c r="A186" s="47"/>
      <c r="B186" s="47"/>
      <c r="C186" s="46"/>
    </row>
    <row r="187" ht="15.75" customHeight="1">
      <c r="A187" s="47"/>
      <c r="B187" s="47"/>
      <c r="C187" s="46"/>
    </row>
    <row r="188" ht="15.75" customHeight="1">
      <c r="A188" s="47"/>
      <c r="B188" s="47"/>
      <c r="C188" s="46"/>
    </row>
    <row r="189" ht="15.75" customHeight="1">
      <c r="A189" s="47"/>
      <c r="B189" s="47"/>
      <c r="C189" s="46"/>
    </row>
    <row r="190" ht="15.75" customHeight="1">
      <c r="A190" s="47"/>
      <c r="B190" s="47"/>
      <c r="C190" s="46"/>
    </row>
    <row r="191" ht="15.75" customHeight="1">
      <c r="A191" s="47"/>
      <c r="B191" s="47"/>
      <c r="C191" s="46"/>
    </row>
    <row r="192" ht="15.75" customHeight="1">
      <c r="A192" s="47"/>
      <c r="B192" s="47"/>
      <c r="C192" s="46"/>
    </row>
    <row r="193" ht="15.75" customHeight="1">
      <c r="A193" s="47"/>
      <c r="B193" s="47"/>
      <c r="C193" s="46"/>
    </row>
    <row r="194" ht="15.75" customHeight="1">
      <c r="A194" s="47"/>
      <c r="B194" s="47"/>
      <c r="C194" s="46"/>
    </row>
    <row r="195" ht="15.75" customHeight="1">
      <c r="A195" s="47"/>
      <c r="B195" s="47"/>
      <c r="C195" s="46"/>
    </row>
    <row r="196" ht="15.75" customHeight="1">
      <c r="A196" s="47"/>
      <c r="B196" s="47"/>
      <c r="C196" s="46"/>
    </row>
    <row r="197" ht="15.75" customHeight="1">
      <c r="A197" s="47"/>
      <c r="B197" s="47"/>
      <c r="C197" s="46"/>
    </row>
    <row r="198" ht="15.75" customHeight="1">
      <c r="A198" s="47"/>
      <c r="B198" s="47"/>
      <c r="C198" s="46"/>
    </row>
    <row r="199" ht="15.75" customHeight="1">
      <c r="A199" s="47"/>
      <c r="B199" s="47"/>
      <c r="C199" s="46"/>
    </row>
    <row r="200" ht="15.75" customHeight="1">
      <c r="A200" s="47"/>
      <c r="B200" s="47"/>
      <c r="C200" s="46"/>
    </row>
    <row r="201" ht="15.75" customHeight="1">
      <c r="A201" s="47"/>
      <c r="B201" s="47"/>
      <c r="C201" s="46"/>
    </row>
    <row r="202" ht="15.75" customHeight="1">
      <c r="A202" s="47"/>
      <c r="B202" s="47"/>
      <c r="C202" s="46"/>
    </row>
    <row r="203" ht="15.75" customHeight="1">
      <c r="A203" s="47"/>
      <c r="B203" s="47"/>
      <c r="C203" s="46"/>
    </row>
    <row r="204" ht="15.75" customHeight="1">
      <c r="A204" s="47"/>
      <c r="B204" s="47"/>
      <c r="C204" s="46"/>
    </row>
    <row r="205" ht="15.75" customHeight="1">
      <c r="A205" s="47"/>
      <c r="B205" s="47"/>
      <c r="C205" s="46"/>
    </row>
    <row r="206" ht="15.75" customHeight="1">
      <c r="A206" s="47"/>
      <c r="B206" s="47"/>
      <c r="C206" s="46"/>
    </row>
    <row r="207" ht="15.75" customHeight="1">
      <c r="A207" s="47"/>
      <c r="B207" s="47"/>
      <c r="C207" s="46"/>
    </row>
    <row r="208" ht="15.75" customHeight="1">
      <c r="A208" s="47"/>
      <c r="B208" s="47"/>
      <c r="C208" s="46"/>
    </row>
    <row r="209" ht="15.75" customHeight="1">
      <c r="A209" s="47"/>
      <c r="B209" s="47"/>
      <c r="C209" s="46"/>
    </row>
    <row r="210" ht="15.75" customHeight="1">
      <c r="A210" s="47"/>
      <c r="B210" s="47"/>
      <c r="C210" s="46"/>
    </row>
    <row r="211" ht="15.75" customHeight="1">
      <c r="A211" s="47"/>
      <c r="B211" s="47"/>
      <c r="C211" s="46"/>
    </row>
    <row r="212" ht="15.75" customHeight="1">
      <c r="A212" s="47"/>
      <c r="B212" s="47"/>
      <c r="C212" s="46"/>
    </row>
    <row r="213" ht="15.75" customHeight="1">
      <c r="A213" s="47"/>
      <c r="B213" s="47"/>
      <c r="C213" s="46"/>
    </row>
    <row r="214" ht="15.75" customHeight="1">
      <c r="A214" s="47"/>
      <c r="B214" s="47"/>
      <c r="C214" s="46"/>
    </row>
    <row r="215" ht="15.75" customHeight="1">
      <c r="A215" s="47"/>
      <c r="B215" s="47"/>
      <c r="C215" s="46"/>
    </row>
    <row r="216" ht="15.75" customHeight="1">
      <c r="A216" s="47"/>
      <c r="B216" s="47"/>
      <c r="C216" s="46"/>
    </row>
    <row r="217" ht="15.75" customHeight="1">
      <c r="A217" s="47"/>
      <c r="B217" s="47"/>
      <c r="C217" s="46"/>
    </row>
    <row r="218" ht="15.75" customHeight="1">
      <c r="A218" s="47"/>
      <c r="B218" s="47"/>
      <c r="C218" s="46"/>
    </row>
    <row r="219" ht="15.75" customHeight="1">
      <c r="A219" s="47"/>
      <c r="B219" s="47"/>
      <c r="C219" s="46"/>
    </row>
    <row r="220" ht="15.75" customHeight="1">
      <c r="A220" s="47"/>
      <c r="B220" s="47"/>
      <c r="C220" s="46"/>
    </row>
    <row r="221" ht="15.75" customHeight="1">
      <c r="A221" s="47"/>
      <c r="B221" s="47"/>
      <c r="C221" s="46"/>
    </row>
    <row r="222" ht="15.75" customHeight="1">
      <c r="A222" s="47"/>
      <c r="B222" s="47"/>
      <c r="C222" s="46"/>
    </row>
    <row r="223" ht="15.75" customHeight="1">
      <c r="A223" s="47"/>
      <c r="B223" s="47"/>
      <c r="C223" s="46"/>
    </row>
    <row r="224" ht="15.75" customHeight="1">
      <c r="A224" s="47"/>
      <c r="B224" s="47"/>
      <c r="C224" s="46"/>
    </row>
    <row r="225" ht="15.75" customHeight="1">
      <c r="A225" s="47"/>
      <c r="B225" s="47"/>
      <c r="C225" s="46"/>
    </row>
    <row r="226" ht="15.75" customHeight="1">
      <c r="A226" s="47"/>
      <c r="B226" s="47"/>
      <c r="C226" s="46"/>
    </row>
    <row r="227" ht="15.75" customHeight="1">
      <c r="A227" s="47"/>
      <c r="B227" s="47"/>
      <c r="C227" s="46"/>
    </row>
    <row r="228" ht="15.75" customHeight="1">
      <c r="A228" s="47"/>
      <c r="B228" s="47"/>
      <c r="C228" s="46"/>
    </row>
    <row r="229" ht="15.75" customHeight="1">
      <c r="A229" s="47"/>
      <c r="B229" s="47"/>
      <c r="C229" s="46"/>
    </row>
    <row r="230" ht="15.75" customHeight="1">
      <c r="A230" s="47"/>
      <c r="B230" s="47"/>
      <c r="C230" s="46"/>
    </row>
    <row r="231" ht="15.75" customHeight="1">
      <c r="A231" s="47"/>
      <c r="B231" s="47"/>
      <c r="C231" s="46"/>
    </row>
    <row r="232" ht="15.75" customHeight="1">
      <c r="A232" s="47"/>
      <c r="B232" s="47"/>
      <c r="C232" s="46"/>
    </row>
    <row r="233" ht="15.75" customHeight="1">
      <c r="A233" s="47"/>
      <c r="B233" s="47"/>
      <c r="C233" s="46"/>
    </row>
    <row r="234" ht="15.75" customHeight="1">
      <c r="A234" s="47"/>
      <c r="B234" s="47"/>
      <c r="C234" s="46"/>
    </row>
    <row r="235" ht="15.75" customHeight="1">
      <c r="A235" s="47"/>
      <c r="B235" s="47"/>
      <c r="C235" s="46"/>
    </row>
    <row r="236" ht="15.75" customHeight="1">
      <c r="A236" s="47"/>
      <c r="B236" s="47"/>
      <c r="C236" s="46"/>
    </row>
    <row r="237" ht="15.75" customHeight="1">
      <c r="A237" s="47"/>
      <c r="B237" s="47"/>
      <c r="C237" s="46"/>
    </row>
    <row r="238" ht="15.75" customHeight="1">
      <c r="A238" s="47"/>
      <c r="B238" s="47"/>
      <c r="C238" s="46"/>
    </row>
    <row r="239" ht="15.75" customHeight="1">
      <c r="A239" s="47"/>
      <c r="B239" s="47"/>
      <c r="C239" s="46"/>
    </row>
    <row r="240" ht="15.75" customHeight="1">
      <c r="A240" s="47"/>
      <c r="B240" s="47"/>
      <c r="C240" s="46"/>
    </row>
    <row r="241" ht="15.75" customHeight="1">
      <c r="A241" s="47"/>
      <c r="B241" s="47"/>
      <c r="C241" s="46"/>
    </row>
    <row r="242" ht="15.75" customHeight="1">
      <c r="A242" s="47"/>
      <c r="B242" s="47"/>
      <c r="C242" s="46"/>
    </row>
    <row r="243" ht="15.75" customHeight="1">
      <c r="A243" s="47"/>
      <c r="B243" s="47"/>
      <c r="C243" s="46"/>
    </row>
    <row r="244" ht="15.75" customHeight="1">
      <c r="A244" s="47"/>
      <c r="B244" s="47"/>
      <c r="C244" s="46"/>
    </row>
    <row r="245" ht="15.75" customHeight="1">
      <c r="A245" s="47"/>
      <c r="B245" s="47"/>
      <c r="C245" s="46"/>
    </row>
    <row r="246" ht="15.75" customHeight="1">
      <c r="A246" s="47"/>
      <c r="B246" s="47"/>
      <c r="C246" s="46"/>
    </row>
    <row r="247" ht="15.75" customHeight="1">
      <c r="A247" s="47"/>
      <c r="B247" s="47"/>
      <c r="C247" s="46"/>
    </row>
    <row r="248" ht="15.75" customHeight="1">
      <c r="A248" s="47"/>
      <c r="B248" s="47"/>
      <c r="C248" s="46"/>
    </row>
    <row r="249" ht="15.75" customHeight="1">
      <c r="A249" s="47"/>
      <c r="B249" s="47"/>
      <c r="C249" s="46"/>
    </row>
    <row r="250" ht="15.75" customHeight="1">
      <c r="A250" s="47"/>
      <c r="B250" s="47"/>
      <c r="C250" s="46"/>
    </row>
    <row r="251" ht="15.75" customHeight="1">
      <c r="A251" s="47"/>
      <c r="B251" s="47"/>
      <c r="C251" s="46"/>
    </row>
    <row r="252" ht="15.75" customHeight="1">
      <c r="A252" s="47"/>
      <c r="B252" s="47"/>
      <c r="C252" s="46"/>
    </row>
    <row r="253" ht="15.75" customHeight="1">
      <c r="A253" s="47"/>
      <c r="B253" s="47"/>
      <c r="C253" s="46"/>
    </row>
    <row r="254" ht="15.75" customHeight="1">
      <c r="A254" s="47"/>
      <c r="B254" s="47"/>
      <c r="C254" s="46"/>
    </row>
    <row r="255" ht="15.75" customHeight="1">
      <c r="A255" s="47"/>
      <c r="B255" s="47"/>
      <c r="C255" s="46"/>
    </row>
    <row r="256" ht="15.75" customHeight="1">
      <c r="A256" s="47"/>
      <c r="B256" s="47"/>
      <c r="C256" s="46"/>
    </row>
    <row r="257" ht="15.75" customHeight="1">
      <c r="A257" s="47"/>
      <c r="B257" s="47"/>
      <c r="C257" s="46"/>
    </row>
    <row r="258" ht="15.75" customHeight="1">
      <c r="A258" s="47"/>
      <c r="B258" s="47"/>
      <c r="C258" s="46"/>
    </row>
    <row r="259" ht="15.75" customHeight="1">
      <c r="A259" s="47"/>
      <c r="B259" s="47"/>
      <c r="C259" s="46"/>
    </row>
    <row r="260" ht="15.75" customHeight="1">
      <c r="A260" s="47"/>
      <c r="B260" s="47"/>
      <c r="C260" s="46"/>
    </row>
    <row r="261" ht="15.75" customHeight="1">
      <c r="A261" s="47"/>
      <c r="B261" s="47"/>
      <c r="C261" s="46"/>
    </row>
    <row r="262" ht="15.75" customHeight="1">
      <c r="A262" s="47"/>
      <c r="B262" s="47"/>
      <c r="C262" s="46"/>
    </row>
    <row r="263" ht="15.75" customHeight="1">
      <c r="A263" s="47"/>
      <c r="B263" s="47"/>
      <c r="C263" s="46"/>
    </row>
    <row r="264" ht="15.75" customHeight="1">
      <c r="A264" s="47"/>
      <c r="B264" s="47"/>
      <c r="C264" s="46"/>
    </row>
    <row r="265" ht="15.75" customHeight="1">
      <c r="A265" s="47"/>
      <c r="B265" s="47"/>
      <c r="C265" s="46"/>
    </row>
    <row r="266" ht="15.75" customHeight="1">
      <c r="A266" s="47"/>
      <c r="B266" s="47"/>
      <c r="C266" s="46"/>
    </row>
    <row r="267" ht="15.75" customHeight="1">
      <c r="A267" s="47"/>
      <c r="B267" s="47"/>
      <c r="C267" s="46"/>
    </row>
    <row r="268" ht="15.75" customHeight="1">
      <c r="A268" s="47"/>
      <c r="B268" s="47"/>
      <c r="C268" s="46"/>
    </row>
    <row r="269" ht="15.75" customHeight="1">
      <c r="A269" s="47"/>
      <c r="B269" s="47"/>
      <c r="C269" s="46"/>
    </row>
    <row r="270" ht="15.75" customHeight="1">
      <c r="A270" s="47"/>
      <c r="B270" s="47"/>
      <c r="C270" s="46"/>
    </row>
    <row r="271" ht="15.75" customHeight="1">
      <c r="A271" s="47"/>
      <c r="B271" s="47"/>
      <c r="C271" s="46"/>
    </row>
    <row r="272" ht="15.75" customHeight="1">
      <c r="A272" s="47"/>
      <c r="B272" s="47"/>
      <c r="C272" s="46"/>
    </row>
    <row r="273" ht="15.75" customHeight="1">
      <c r="A273" s="47"/>
      <c r="B273" s="47"/>
      <c r="C273" s="46"/>
    </row>
    <row r="274" ht="15.75" customHeight="1">
      <c r="A274" s="47"/>
      <c r="B274" s="47"/>
      <c r="C274" s="46"/>
    </row>
    <row r="275" ht="15.75" customHeight="1">
      <c r="A275" s="47"/>
      <c r="B275" s="47"/>
      <c r="C275" s="46"/>
    </row>
    <row r="276" ht="15.75" customHeight="1">
      <c r="A276" s="47"/>
      <c r="B276" s="47"/>
      <c r="C276" s="46"/>
    </row>
    <row r="277" ht="15.75" customHeight="1">
      <c r="A277" s="47"/>
      <c r="B277" s="47"/>
      <c r="C277" s="46"/>
    </row>
    <row r="278" ht="15.75" customHeight="1">
      <c r="A278" s="47"/>
      <c r="B278" s="47"/>
      <c r="C278" s="46"/>
    </row>
    <row r="279" ht="15.75" customHeight="1">
      <c r="A279" s="47"/>
      <c r="B279" s="47"/>
      <c r="C279" s="46"/>
    </row>
    <row r="280" ht="15.75" customHeight="1">
      <c r="A280" s="47"/>
      <c r="B280" s="47"/>
      <c r="C280" s="46"/>
    </row>
    <row r="281" ht="15.75" customHeight="1">
      <c r="A281" s="47"/>
      <c r="B281" s="47"/>
      <c r="C281" s="46"/>
    </row>
    <row r="282" ht="15.75" customHeight="1">
      <c r="A282" s="47"/>
      <c r="B282" s="47"/>
      <c r="C282" s="46"/>
    </row>
    <row r="283" ht="15.75" customHeight="1">
      <c r="A283" s="47"/>
      <c r="B283" s="47"/>
      <c r="C283" s="46"/>
    </row>
    <row r="284" ht="15.75" customHeight="1">
      <c r="A284" s="47"/>
      <c r="B284" s="47"/>
      <c r="C284" s="46"/>
    </row>
    <row r="285" ht="15.75" customHeight="1">
      <c r="A285" s="47"/>
      <c r="B285" s="47"/>
      <c r="C285" s="46"/>
    </row>
    <row r="286" ht="15.75" customHeight="1">
      <c r="A286" s="47"/>
      <c r="B286" s="47"/>
      <c r="C286" s="46"/>
    </row>
    <row r="287" ht="15.75" customHeight="1">
      <c r="A287" s="47"/>
      <c r="B287" s="47"/>
      <c r="C287" s="46"/>
    </row>
    <row r="288" ht="15.75" customHeight="1">
      <c r="A288" s="47"/>
      <c r="B288" s="47"/>
      <c r="C288" s="46"/>
    </row>
    <row r="289" ht="15.75" customHeight="1">
      <c r="A289" s="47"/>
      <c r="B289" s="47"/>
      <c r="C289" s="46"/>
    </row>
    <row r="290" ht="15.75" customHeight="1">
      <c r="A290" s="47"/>
      <c r="B290" s="47"/>
      <c r="C290" s="46"/>
    </row>
    <row r="291" ht="15.75" customHeight="1">
      <c r="A291" s="47"/>
      <c r="B291" s="47"/>
      <c r="C291" s="46"/>
    </row>
    <row r="292" ht="15.75" customHeight="1">
      <c r="A292" s="47"/>
      <c r="B292" s="47"/>
      <c r="C292" s="46"/>
    </row>
    <row r="293" ht="15.75" customHeight="1">
      <c r="A293" s="47"/>
      <c r="B293" s="47"/>
      <c r="C293" s="46"/>
    </row>
    <row r="294" ht="15.75" customHeight="1">
      <c r="A294" s="47"/>
      <c r="B294" s="47"/>
      <c r="C294" s="46"/>
    </row>
    <row r="295" ht="15.75" customHeight="1">
      <c r="A295" s="47"/>
      <c r="B295" s="47"/>
      <c r="C295" s="46"/>
    </row>
    <row r="296" ht="15.75" customHeight="1">
      <c r="A296" s="47"/>
      <c r="B296" s="47"/>
      <c r="C296" s="46"/>
    </row>
    <row r="297" ht="15.75" customHeight="1">
      <c r="A297" s="47"/>
      <c r="B297" s="47"/>
      <c r="C297" s="46"/>
    </row>
    <row r="298" ht="15.75" customHeight="1">
      <c r="A298" s="47"/>
      <c r="B298" s="47"/>
      <c r="C298" s="46"/>
    </row>
    <row r="299" ht="15.75" customHeight="1">
      <c r="A299" s="47"/>
      <c r="B299" s="47"/>
      <c r="C299" s="46"/>
    </row>
    <row r="300" ht="15.75" customHeight="1">
      <c r="A300" s="47"/>
      <c r="B300" s="47"/>
      <c r="C300" s="46"/>
    </row>
    <row r="301" ht="15.75" customHeight="1">
      <c r="A301" s="47"/>
      <c r="B301" s="47"/>
      <c r="C301" s="46"/>
    </row>
    <row r="302" ht="15.75" customHeight="1">
      <c r="A302" s="47"/>
      <c r="B302" s="47"/>
      <c r="C302" s="46"/>
    </row>
    <row r="303" ht="15.75" customHeight="1">
      <c r="A303" s="47"/>
      <c r="B303" s="47"/>
      <c r="C303" s="46"/>
    </row>
    <row r="304" ht="15.75" customHeight="1">
      <c r="A304" s="47"/>
      <c r="B304" s="47"/>
      <c r="C304" s="46"/>
    </row>
    <row r="305" ht="15.75" customHeight="1">
      <c r="A305" s="47"/>
      <c r="B305" s="47"/>
      <c r="C305" s="46"/>
    </row>
    <row r="306" ht="15.75" customHeight="1">
      <c r="A306" s="47"/>
      <c r="B306" s="47"/>
      <c r="C306" s="46"/>
    </row>
    <row r="307" ht="15.75" customHeight="1">
      <c r="A307" s="47"/>
      <c r="B307" s="47"/>
      <c r="C307" s="46"/>
    </row>
    <row r="308" ht="15.75" customHeight="1">
      <c r="A308" s="47"/>
      <c r="B308" s="47"/>
      <c r="C308" s="46"/>
    </row>
    <row r="309" ht="15.75" customHeight="1">
      <c r="A309" s="47"/>
      <c r="B309" s="47"/>
      <c r="C309" s="46"/>
    </row>
    <row r="310" ht="15.75" customHeight="1">
      <c r="A310" s="47"/>
      <c r="B310" s="47"/>
      <c r="C310" s="46"/>
    </row>
    <row r="311" ht="15.75" customHeight="1">
      <c r="A311" s="47"/>
      <c r="B311" s="47"/>
      <c r="C311" s="46"/>
    </row>
    <row r="312" ht="15.75" customHeight="1">
      <c r="A312" s="47"/>
      <c r="B312" s="47"/>
      <c r="C312" s="46"/>
    </row>
    <row r="313" ht="15.75" customHeight="1">
      <c r="A313" s="47"/>
      <c r="B313" s="47"/>
      <c r="C313" s="46"/>
    </row>
    <row r="314" ht="15.75" customHeight="1">
      <c r="A314" s="47"/>
      <c r="B314" s="47"/>
      <c r="C314" s="46"/>
    </row>
    <row r="315" ht="15.75" customHeight="1">
      <c r="A315" s="47"/>
      <c r="B315" s="47"/>
      <c r="C315" s="46"/>
    </row>
    <row r="316" ht="15.75" customHeight="1">
      <c r="A316" s="47"/>
      <c r="B316" s="47"/>
      <c r="C316" s="46"/>
    </row>
    <row r="317" ht="15.75" customHeight="1">
      <c r="A317" s="47"/>
      <c r="B317" s="47"/>
      <c r="C317" s="46"/>
    </row>
    <row r="318" ht="15.75" customHeight="1">
      <c r="A318" s="47"/>
      <c r="B318" s="47"/>
      <c r="C318" s="46"/>
    </row>
    <row r="319" ht="15.75" customHeight="1">
      <c r="A319" s="47"/>
      <c r="B319" s="47"/>
      <c r="C319" s="46"/>
    </row>
    <row r="320" ht="15.75" customHeight="1">
      <c r="A320" s="47"/>
      <c r="B320" s="47"/>
      <c r="C320" s="46"/>
    </row>
    <row r="321" ht="15.75" customHeight="1">
      <c r="A321" s="47"/>
      <c r="B321" s="47"/>
      <c r="C321" s="46"/>
    </row>
    <row r="322" ht="15.75" customHeight="1">
      <c r="A322" s="47"/>
      <c r="B322" s="47"/>
      <c r="C322" s="46"/>
    </row>
    <row r="323" ht="15.75" customHeight="1">
      <c r="A323" s="47"/>
      <c r="B323" s="47"/>
      <c r="C323" s="46"/>
    </row>
    <row r="324" ht="15.75" customHeight="1">
      <c r="A324" s="47"/>
      <c r="B324" s="47"/>
      <c r="C324" s="46"/>
    </row>
    <row r="325" ht="15.75" customHeight="1">
      <c r="A325" s="47"/>
      <c r="B325" s="47"/>
      <c r="C325" s="46"/>
    </row>
    <row r="326" ht="15.75" customHeight="1">
      <c r="A326" s="47"/>
      <c r="B326" s="47"/>
      <c r="C326" s="46"/>
    </row>
    <row r="327" ht="15.75" customHeight="1">
      <c r="A327" s="47"/>
      <c r="B327" s="47"/>
      <c r="C327" s="46"/>
    </row>
    <row r="328" ht="15.75" customHeight="1">
      <c r="A328" s="47"/>
      <c r="B328" s="47"/>
      <c r="C328" s="46"/>
    </row>
    <row r="329" ht="15.75" customHeight="1">
      <c r="A329" s="47"/>
      <c r="B329" s="47"/>
      <c r="C329" s="46"/>
    </row>
    <row r="330" ht="15.75" customHeight="1">
      <c r="A330" s="47"/>
      <c r="B330" s="47"/>
      <c r="C330" s="46"/>
    </row>
    <row r="331" ht="15.75" customHeight="1">
      <c r="A331" s="47"/>
      <c r="B331" s="47"/>
      <c r="C331" s="46"/>
    </row>
    <row r="332" ht="15.75" customHeight="1">
      <c r="A332" s="47"/>
      <c r="B332" s="47"/>
      <c r="C332" s="46"/>
    </row>
    <row r="333" ht="15.75" customHeight="1">
      <c r="A333" s="47"/>
      <c r="B333" s="47"/>
      <c r="C333" s="46"/>
    </row>
    <row r="334" ht="15.75" customHeight="1">
      <c r="A334" s="47"/>
      <c r="B334" s="47"/>
      <c r="C334" s="46"/>
    </row>
    <row r="335" ht="15.75" customHeight="1">
      <c r="A335" s="47"/>
      <c r="B335" s="47"/>
      <c r="C335" s="46"/>
    </row>
    <row r="336" ht="15.75" customHeight="1">
      <c r="A336" s="47"/>
      <c r="B336" s="47"/>
      <c r="C336" s="46"/>
    </row>
    <row r="337" ht="15.75" customHeight="1">
      <c r="A337" s="47"/>
      <c r="B337" s="47"/>
      <c r="C337" s="46"/>
    </row>
    <row r="338" ht="15.75" customHeight="1">
      <c r="A338" s="47"/>
      <c r="B338" s="47"/>
      <c r="C338" s="46"/>
    </row>
    <row r="339" ht="15.75" customHeight="1">
      <c r="A339" s="47"/>
      <c r="B339" s="47"/>
      <c r="C339" s="46"/>
    </row>
    <row r="340" ht="15.75" customHeight="1">
      <c r="A340" s="47"/>
      <c r="B340" s="47"/>
      <c r="C340" s="46"/>
    </row>
    <row r="341" ht="15.75" customHeight="1">
      <c r="A341" s="47"/>
      <c r="B341" s="47"/>
      <c r="C341" s="46"/>
    </row>
    <row r="342" ht="15.75" customHeight="1">
      <c r="A342" s="47"/>
      <c r="B342" s="47"/>
      <c r="C342" s="46"/>
    </row>
    <row r="343" ht="15.75" customHeight="1">
      <c r="A343" s="47"/>
      <c r="B343" s="47"/>
      <c r="C343" s="46"/>
    </row>
    <row r="344" ht="15.75" customHeight="1">
      <c r="A344" s="47"/>
      <c r="B344" s="47"/>
      <c r="C344" s="46"/>
    </row>
    <row r="345" ht="15.75" customHeight="1">
      <c r="A345" s="47"/>
      <c r="B345" s="47"/>
      <c r="C345" s="46"/>
    </row>
    <row r="346" ht="15.75" customHeight="1">
      <c r="A346" s="47"/>
      <c r="B346" s="47"/>
      <c r="C346" s="46"/>
    </row>
    <row r="347" ht="15.75" customHeight="1">
      <c r="A347" s="47"/>
      <c r="B347" s="47"/>
      <c r="C347" s="46"/>
    </row>
    <row r="348" ht="15.75" customHeight="1">
      <c r="A348" s="47"/>
      <c r="B348" s="47"/>
      <c r="C348" s="46"/>
    </row>
    <row r="349" ht="15.75" customHeight="1">
      <c r="A349" s="47"/>
      <c r="B349" s="47"/>
      <c r="C349" s="46"/>
    </row>
    <row r="350" ht="15.75" customHeight="1">
      <c r="A350" s="47"/>
      <c r="B350" s="47"/>
      <c r="C350" s="46"/>
    </row>
    <row r="351" ht="15.75" customHeight="1">
      <c r="A351" s="47"/>
      <c r="B351" s="47"/>
      <c r="C351" s="46"/>
    </row>
    <row r="352" ht="15.75" customHeight="1">
      <c r="A352" s="47"/>
      <c r="B352" s="47"/>
      <c r="C352" s="46"/>
    </row>
    <row r="353" ht="15.75" customHeight="1">
      <c r="A353" s="47"/>
      <c r="B353" s="47"/>
      <c r="C353" s="46"/>
    </row>
    <row r="354" ht="15.75" customHeight="1">
      <c r="A354" s="47"/>
      <c r="B354" s="47"/>
      <c r="C354" s="46"/>
    </row>
    <row r="355" ht="15.75" customHeight="1">
      <c r="A355" s="47"/>
      <c r="B355" s="47"/>
      <c r="C355" s="46"/>
    </row>
    <row r="356" ht="15.75" customHeight="1">
      <c r="A356" s="47"/>
      <c r="B356" s="47"/>
      <c r="C356" s="46"/>
    </row>
    <row r="357" ht="15.75" customHeight="1">
      <c r="A357" s="47"/>
      <c r="B357" s="47"/>
      <c r="C357" s="46"/>
    </row>
    <row r="358" ht="15.75" customHeight="1">
      <c r="A358" s="47"/>
      <c r="B358" s="47"/>
      <c r="C358" s="46"/>
    </row>
    <row r="359" ht="15.75" customHeight="1">
      <c r="A359" s="47"/>
      <c r="B359" s="47"/>
      <c r="C359" s="46"/>
    </row>
    <row r="360" ht="15.75" customHeight="1">
      <c r="A360" s="47"/>
      <c r="B360" s="47"/>
      <c r="C360" s="46"/>
    </row>
    <row r="361" ht="15.75" customHeight="1">
      <c r="A361" s="47"/>
      <c r="B361" s="47"/>
      <c r="C361" s="46"/>
    </row>
    <row r="362" ht="15.75" customHeight="1">
      <c r="A362" s="47"/>
      <c r="B362" s="47"/>
      <c r="C362" s="46"/>
    </row>
    <row r="363" ht="15.75" customHeight="1">
      <c r="A363" s="47"/>
      <c r="B363" s="47"/>
      <c r="C363" s="46"/>
    </row>
    <row r="364" ht="15.75" customHeight="1">
      <c r="A364" s="47"/>
      <c r="B364" s="47"/>
      <c r="C364" s="46"/>
    </row>
    <row r="365" ht="15.75" customHeight="1">
      <c r="A365" s="47"/>
      <c r="B365" s="47"/>
      <c r="C365" s="46"/>
    </row>
    <row r="366" ht="15.75" customHeight="1">
      <c r="A366" s="47"/>
      <c r="B366" s="47"/>
      <c r="C366" s="46"/>
    </row>
    <row r="367" ht="15.75" customHeight="1">
      <c r="A367" s="47"/>
      <c r="B367" s="47"/>
      <c r="C367" s="46"/>
    </row>
    <row r="368" ht="15.75" customHeight="1">
      <c r="A368" s="47"/>
      <c r="B368" s="47"/>
      <c r="C368" s="46"/>
    </row>
    <row r="369" ht="15.75" customHeight="1">
      <c r="A369" s="47"/>
      <c r="B369" s="47"/>
      <c r="C369" s="46"/>
    </row>
    <row r="370" ht="15.75" customHeight="1">
      <c r="A370" s="47"/>
      <c r="B370" s="47"/>
      <c r="C370" s="46"/>
    </row>
    <row r="371" ht="15.75" customHeight="1">
      <c r="A371" s="47"/>
      <c r="B371" s="47"/>
      <c r="C371" s="46"/>
    </row>
    <row r="372" ht="15.75" customHeight="1">
      <c r="A372" s="47"/>
      <c r="B372" s="47"/>
      <c r="C372" s="46"/>
    </row>
    <row r="373" ht="15.75" customHeight="1">
      <c r="A373" s="47"/>
      <c r="B373" s="47"/>
      <c r="C373" s="46"/>
    </row>
    <row r="374" ht="15.75" customHeight="1">
      <c r="A374" s="47"/>
      <c r="B374" s="47"/>
      <c r="C374" s="46"/>
    </row>
    <row r="375" ht="15.75" customHeight="1">
      <c r="A375" s="47"/>
      <c r="B375" s="47"/>
      <c r="C375" s="46"/>
    </row>
    <row r="376" ht="15.75" customHeight="1">
      <c r="A376" s="47"/>
      <c r="B376" s="47"/>
      <c r="C376" s="46"/>
    </row>
    <row r="377" ht="15.75" customHeight="1">
      <c r="A377" s="47"/>
      <c r="B377" s="47"/>
      <c r="C377" s="46"/>
    </row>
    <row r="378" ht="15.75" customHeight="1">
      <c r="A378" s="47"/>
      <c r="B378" s="47"/>
      <c r="C378" s="46"/>
    </row>
    <row r="379" ht="15.75" customHeight="1">
      <c r="A379" s="47"/>
      <c r="B379" s="47"/>
      <c r="C379" s="46"/>
    </row>
    <row r="380" ht="15.75" customHeight="1">
      <c r="A380" s="47"/>
      <c r="B380" s="47"/>
      <c r="C380" s="46"/>
    </row>
    <row r="381" ht="15.75" customHeight="1">
      <c r="A381" s="47"/>
      <c r="B381" s="47"/>
      <c r="C381" s="46"/>
    </row>
    <row r="382" ht="15.75" customHeight="1">
      <c r="A382" s="47"/>
      <c r="B382" s="47"/>
      <c r="C382" s="46"/>
    </row>
    <row r="383" ht="15.75" customHeight="1">
      <c r="A383" s="47"/>
      <c r="B383" s="47"/>
      <c r="C383" s="46"/>
    </row>
    <row r="384" ht="15.75" customHeight="1">
      <c r="A384" s="47"/>
      <c r="B384" s="47"/>
      <c r="C384" s="46"/>
    </row>
    <row r="385" ht="15.75" customHeight="1">
      <c r="A385" s="47"/>
      <c r="B385" s="47"/>
      <c r="C385" s="46"/>
    </row>
    <row r="386" ht="15.75" customHeight="1">
      <c r="A386" s="47"/>
      <c r="B386" s="47"/>
      <c r="C386" s="46"/>
    </row>
    <row r="387" ht="15.75" customHeight="1">
      <c r="A387" s="47"/>
      <c r="B387" s="47"/>
      <c r="C387" s="46"/>
    </row>
    <row r="388" ht="15.75" customHeight="1">
      <c r="A388" s="47"/>
      <c r="B388" s="47"/>
      <c r="C388" s="46"/>
    </row>
    <row r="389" ht="15.75" customHeight="1">
      <c r="A389" s="47"/>
      <c r="B389" s="47"/>
      <c r="C389" s="46"/>
    </row>
    <row r="390" ht="15.75" customHeight="1">
      <c r="A390" s="47"/>
      <c r="B390" s="47"/>
      <c r="C390" s="46"/>
    </row>
    <row r="391" ht="15.75" customHeight="1">
      <c r="A391" s="47"/>
      <c r="B391" s="47"/>
      <c r="C391" s="46"/>
    </row>
    <row r="392" ht="15.75" customHeight="1">
      <c r="A392" s="47"/>
      <c r="B392" s="47"/>
      <c r="C392" s="46"/>
    </row>
    <row r="393" ht="15.75" customHeight="1">
      <c r="A393" s="47"/>
      <c r="B393" s="47"/>
      <c r="C393" s="46"/>
    </row>
    <row r="394" ht="15.75" customHeight="1">
      <c r="A394" s="47"/>
      <c r="B394" s="47"/>
      <c r="C394" s="46"/>
    </row>
    <row r="395" ht="15.75" customHeight="1">
      <c r="A395" s="47"/>
      <c r="B395" s="47"/>
      <c r="C395" s="46"/>
    </row>
    <row r="396" ht="15.75" customHeight="1">
      <c r="A396" s="47"/>
      <c r="B396" s="47"/>
      <c r="C396" s="46"/>
    </row>
    <row r="397" ht="15.75" customHeight="1">
      <c r="A397" s="47"/>
      <c r="B397" s="47"/>
      <c r="C397" s="46"/>
    </row>
    <row r="398" ht="15.75" customHeight="1">
      <c r="A398" s="47"/>
      <c r="B398" s="47"/>
      <c r="C398" s="46"/>
    </row>
    <row r="399" ht="15.75" customHeight="1">
      <c r="A399" s="47"/>
      <c r="B399" s="47"/>
      <c r="C399" s="46"/>
    </row>
    <row r="400" ht="15.75" customHeight="1">
      <c r="A400" s="47"/>
      <c r="B400" s="47"/>
      <c r="C400" s="46"/>
    </row>
    <row r="401" ht="15.75" customHeight="1">
      <c r="A401" s="47"/>
      <c r="B401" s="47"/>
      <c r="C401" s="46"/>
    </row>
    <row r="402" ht="15.75" customHeight="1">
      <c r="A402" s="47"/>
      <c r="B402" s="47"/>
      <c r="C402" s="46"/>
    </row>
    <row r="403" ht="15.75" customHeight="1">
      <c r="A403" s="47"/>
      <c r="B403" s="47"/>
      <c r="C403" s="46"/>
    </row>
    <row r="404" ht="15.75" customHeight="1">
      <c r="A404" s="47"/>
      <c r="B404" s="47"/>
      <c r="C404" s="46"/>
    </row>
    <row r="405" ht="15.75" customHeight="1">
      <c r="A405" s="47"/>
      <c r="B405" s="47"/>
      <c r="C405" s="46"/>
    </row>
    <row r="406" ht="15.75" customHeight="1">
      <c r="A406" s="47"/>
      <c r="B406" s="47"/>
      <c r="C406" s="46"/>
    </row>
    <row r="407" ht="15.75" customHeight="1">
      <c r="A407" s="47"/>
      <c r="B407" s="47"/>
      <c r="C407" s="46"/>
    </row>
    <row r="408" ht="15.75" customHeight="1">
      <c r="A408" s="47"/>
      <c r="B408" s="47"/>
      <c r="C408" s="46"/>
    </row>
    <row r="409" ht="15.75" customHeight="1">
      <c r="A409" s="47"/>
      <c r="B409" s="47"/>
      <c r="C409" s="46"/>
    </row>
    <row r="410" ht="15.75" customHeight="1">
      <c r="A410" s="47"/>
      <c r="B410" s="47"/>
      <c r="C410" s="46"/>
    </row>
    <row r="411" ht="15.75" customHeight="1">
      <c r="A411" s="47"/>
      <c r="B411" s="47"/>
      <c r="C411" s="46"/>
    </row>
    <row r="412" ht="15.75" customHeight="1">
      <c r="A412" s="47"/>
      <c r="B412" s="47"/>
      <c r="C412" s="46"/>
    </row>
    <row r="413" ht="15.75" customHeight="1">
      <c r="A413" s="47"/>
      <c r="B413" s="47"/>
      <c r="C413" s="46"/>
    </row>
    <row r="414" ht="15.75" customHeight="1">
      <c r="A414" s="47"/>
      <c r="B414" s="47"/>
      <c r="C414" s="46"/>
    </row>
    <row r="415" ht="15.75" customHeight="1">
      <c r="A415" s="47"/>
      <c r="B415" s="47"/>
      <c r="C415" s="46"/>
    </row>
    <row r="416" ht="15.75" customHeight="1">
      <c r="A416" s="47"/>
      <c r="B416" s="47"/>
      <c r="C416" s="46"/>
    </row>
    <row r="417" ht="15.75" customHeight="1">
      <c r="A417" s="47"/>
      <c r="B417" s="47"/>
      <c r="C417" s="46"/>
    </row>
    <row r="418" ht="15.75" customHeight="1">
      <c r="A418" s="47"/>
      <c r="B418" s="47"/>
      <c r="C418" s="46"/>
    </row>
    <row r="419" ht="15.75" customHeight="1">
      <c r="A419" s="47"/>
      <c r="B419" s="47"/>
      <c r="C419" s="46"/>
    </row>
    <row r="420" ht="15.75" customHeight="1">
      <c r="A420" s="47"/>
      <c r="B420" s="47"/>
      <c r="C420" s="46"/>
    </row>
    <row r="421" ht="15.75" customHeight="1">
      <c r="A421" s="47"/>
      <c r="B421" s="47"/>
      <c r="C421" s="46"/>
    </row>
    <row r="422" ht="15.75" customHeight="1">
      <c r="A422" s="47"/>
      <c r="B422" s="47"/>
      <c r="C422" s="46"/>
    </row>
    <row r="423" ht="15.75" customHeight="1">
      <c r="A423" s="47"/>
      <c r="B423" s="47"/>
      <c r="C423" s="46"/>
    </row>
    <row r="424" ht="15.75" customHeight="1">
      <c r="A424" s="47"/>
      <c r="B424" s="47"/>
      <c r="C424" s="46"/>
    </row>
    <row r="425" ht="15.75" customHeight="1">
      <c r="A425" s="47"/>
      <c r="B425" s="47"/>
      <c r="C425" s="46"/>
    </row>
    <row r="426" ht="15.75" customHeight="1">
      <c r="A426" s="47"/>
      <c r="B426" s="47"/>
      <c r="C426" s="46"/>
    </row>
    <row r="427" ht="15.75" customHeight="1">
      <c r="A427" s="47"/>
      <c r="B427" s="47"/>
      <c r="C427" s="46"/>
    </row>
    <row r="428" ht="15.75" customHeight="1">
      <c r="A428" s="47"/>
      <c r="B428" s="47"/>
      <c r="C428" s="46"/>
    </row>
    <row r="429" ht="15.75" customHeight="1">
      <c r="A429" s="47"/>
      <c r="B429" s="47"/>
      <c r="C429" s="46"/>
    </row>
    <row r="430" ht="15.75" customHeight="1">
      <c r="A430" s="47"/>
      <c r="B430" s="47"/>
      <c r="C430" s="46"/>
    </row>
    <row r="431" ht="15.75" customHeight="1">
      <c r="A431" s="47"/>
      <c r="B431" s="47"/>
      <c r="C431" s="46"/>
    </row>
    <row r="432" ht="15.75" customHeight="1">
      <c r="A432" s="47"/>
      <c r="B432" s="47"/>
      <c r="C432" s="46"/>
    </row>
    <row r="433" ht="15.75" customHeight="1">
      <c r="A433" s="47"/>
      <c r="B433" s="47"/>
      <c r="C433" s="46"/>
    </row>
    <row r="434" ht="15.75" customHeight="1">
      <c r="A434" s="47"/>
      <c r="B434" s="47"/>
      <c r="C434" s="46"/>
    </row>
    <row r="435" ht="15.75" customHeight="1">
      <c r="A435" s="47"/>
      <c r="B435" s="47"/>
      <c r="C435" s="46"/>
    </row>
    <row r="436" ht="15.75" customHeight="1">
      <c r="A436" s="47"/>
      <c r="B436" s="47"/>
      <c r="C436" s="46"/>
    </row>
    <row r="437" ht="15.75" customHeight="1">
      <c r="A437" s="47"/>
      <c r="B437" s="47"/>
      <c r="C437" s="46"/>
    </row>
    <row r="438" ht="15.75" customHeight="1">
      <c r="A438" s="47"/>
      <c r="B438" s="47"/>
      <c r="C438" s="46"/>
    </row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5.75"/>
    <col customWidth="1" min="3" max="6" width="12.63"/>
  </cols>
  <sheetData>
    <row r="1" ht="15.75" customHeight="1">
      <c r="A1" s="48" t="s">
        <v>59</v>
      </c>
      <c r="B1" s="48" t="s">
        <v>45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.75" customHeight="1">
      <c r="B2" s="50" t="s">
        <v>60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31.88"/>
    <col customWidth="1" min="3" max="3" width="7.0"/>
    <col customWidth="1" min="4" max="4" width="12.63"/>
    <col customWidth="1" min="5" max="5" width="46.38"/>
    <col customWidth="1" min="6" max="6" width="19.88"/>
  </cols>
  <sheetData>
    <row r="1" ht="15.75" customHeight="1">
      <c r="A1" s="7" t="s">
        <v>61</v>
      </c>
      <c r="B1" s="7" t="s">
        <v>62</v>
      </c>
      <c r="D1" s="7" t="s">
        <v>61</v>
      </c>
      <c r="E1" s="7" t="s">
        <v>63</v>
      </c>
      <c r="G1" s="7" t="s">
        <v>24</v>
      </c>
    </row>
    <row r="2" ht="15.75" customHeight="1">
      <c r="A2" s="7" t="s">
        <v>64</v>
      </c>
      <c r="B2" s="51" t="s">
        <v>65</v>
      </c>
      <c r="D2" s="52" t="s">
        <v>48</v>
      </c>
      <c r="E2" s="51" t="s">
        <v>46</v>
      </c>
      <c r="G2" s="52" t="s">
        <v>27</v>
      </c>
    </row>
    <row r="3" ht="15.75" customHeight="1">
      <c r="A3" s="7" t="s">
        <v>66</v>
      </c>
      <c r="B3" s="51" t="s">
        <v>19</v>
      </c>
      <c r="D3" s="51" t="s">
        <v>47</v>
      </c>
      <c r="E3" s="51" t="s">
        <v>46</v>
      </c>
      <c r="G3" s="52" t="s">
        <v>18</v>
      </c>
    </row>
    <row r="4" ht="15.75" customHeight="1">
      <c r="A4" s="7"/>
      <c r="B4" s="52" t="s">
        <v>67</v>
      </c>
      <c r="D4" s="52" t="s">
        <v>68</v>
      </c>
      <c r="E4" s="51" t="s">
        <v>46</v>
      </c>
    </row>
    <row r="5" ht="15.75" customHeight="1">
      <c r="A5" s="7"/>
      <c r="B5" s="52" t="s">
        <v>69</v>
      </c>
      <c r="D5" s="52" t="s">
        <v>70</v>
      </c>
      <c r="E5" s="51" t="s">
        <v>46</v>
      </c>
    </row>
    <row r="6" ht="15.75" customHeight="1">
      <c r="A6" s="7"/>
      <c r="B6" s="7"/>
      <c r="D6" s="41"/>
      <c r="E6" s="41"/>
    </row>
    <row r="7" ht="15.75" customHeight="1">
      <c r="A7" s="7"/>
    </row>
    <row r="8" ht="15.75" customHeight="1">
      <c r="A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C20"/>
  </mergeCells>
  <drawing r:id="rId1"/>
</worksheet>
</file>